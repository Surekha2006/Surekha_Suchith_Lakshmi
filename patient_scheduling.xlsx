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5bc8a5f0f102a9f/Desktop/"/>
    </mc:Choice>
  </mc:AlternateContent>
  <xr:revisionPtr revIDLastSave="0" documentId="8_{57017D9A-424B-4019-99F0-1EA3FF2A98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CFS" sheetId="1" r:id="rId1"/>
    <sheet name="SPT" sheetId="2" r:id="rId2"/>
    <sheet name="EDD" sheetId="3" r:id="rId3"/>
    <sheet name="Hybrid_alpha_0.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" i="1" l="1"/>
  <c r="K20" i="2"/>
  <c r="K20" i="3"/>
  <c r="L21" i="4"/>
  <c r="L18" i="4"/>
  <c r="L12" i="4"/>
  <c r="L15" i="4"/>
  <c r="K17" i="3"/>
  <c r="K14" i="3"/>
  <c r="K11" i="3"/>
  <c r="K17" i="2"/>
  <c r="K11" i="2"/>
  <c r="K14" i="2"/>
  <c r="K17" i="1"/>
  <c r="K14" i="1"/>
  <c r="K11" i="1"/>
  <c r="E4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3" i="4"/>
  <c r="E2" i="4"/>
</calcChain>
</file>

<file path=xl/sharedStrings.xml><?xml version="1.0" encoding="utf-8"?>
<sst xmlns="http://schemas.openxmlformats.org/spreadsheetml/2006/main" count="449" uniqueCount="67">
  <si>
    <t>ID</t>
  </si>
  <si>
    <t>Severity</t>
  </si>
  <si>
    <t>p</t>
  </si>
  <si>
    <t>d</t>
  </si>
  <si>
    <t>Start</t>
  </si>
  <si>
    <t>Completion</t>
  </si>
  <si>
    <t>Flow Time</t>
  </si>
  <si>
    <t>Tardiness</t>
  </si>
  <si>
    <t>P1</t>
  </si>
  <si>
    <t>Critical</t>
  </si>
  <si>
    <t>P2</t>
  </si>
  <si>
    <t>Severe</t>
  </si>
  <si>
    <t>P3</t>
  </si>
  <si>
    <t>Moderate</t>
  </si>
  <si>
    <t>P4</t>
  </si>
  <si>
    <t>Mild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</si>
  <si>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</si>
  <si>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</si>
  <si>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</si>
  <si>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</si>
  <si>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</si>
  <si>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</si>
  <si>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</si>
  <si>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</si>
  <si>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</si>
  <si>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</si>
  <si>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</si>
  <si>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</si>
  <si>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</si>
  <si>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</si>
  <si>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</si>
  <si>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</si>
  <si>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</si>
  <si>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</si>
  <si>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</si>
  <si>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</si>
  <si>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</si>
  <si>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</si>
  <si>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</si>
  <si>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</si>
  <si>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</si>
  <si>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</si>
  <si>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</si>
  <si>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</si>
  <si>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</si>
  <si>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</si>
  <si>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</si>
  <si>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</si>
  <si>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</si>
  <si>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</si>
  <si>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</si>
  <si>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</si>
  <si>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</si>
  <si>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</si>
  <si>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</si>
  <si>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</si>
  <si>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</si>
  <si>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</si>
  <si>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</si>
  <si>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</si>
  <si>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</si>
  <si>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</si>
  <si>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Priority</t>
  </si>
  <si>
    <t>Mean Flow Time</t>
  </si>
  <si>
    <t>Mean Tardiness</t>
  </si>
  <si>
    <t>Max Tardiness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</si>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</sst>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K20" sqref="K20"/>
    </sheetView>
  </sheetViews>
  <sheetFormatPr defaultRowHeight="14.5" x14ac:dyDescent="0.35"/>
  <cols>
    <col min="6" max="6" width="11" customWidth="1"/>
    <col min="7" max="7" width="10.6328125" customWidth="1"/>
    <col min="8" max="8" width="10.1796875" customWidth="1"/>
    <col min="11" max="11" width="14.6328125" bestFit="1" customWidth="1"/>
  </cols>
  <sheetData>
    <row r="1" spans="1:1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1" x14ac:dyDescent="0.35">
      <c r="A2" t="s">
        <v>8</v>
      </c>
      <c r="B2" t="s">
        <v>9</v>
      </c>
      <c r="C2">
        <v>17.5</v>
      </c>
      <c r="D2">
        <v>0.17</v>
      </c>
      <c r="E2">
        <v>0</v>
      </c>
      <c r="F2">
        <v>17.5</v>
      </c>
      <c r="G2">
        <v>17.5</v>
      </c>
      <c r="H2">
        <v>17.329999999999998</v>
      </c>
    </row>
    <row r="3" spans="1:11" x14ac:dyDescent="0.35">
      <c r="A3" t="s">
        <v>10</v>
      </c>
      <c r="B3" t="s">
        <v>11</v>
      </c>
      <c r="C3">
        <v>12.2</v>
      </c>
      <c r="D3">
        <v>0.5</v>
      </c>
      <c r="E3">
        <v>17.5</v>
      </c>
      <c r="F3">
        <v>29.7</v>
      </c>
      <c r="G3">
        <v>29.7</v>
      </c>
      <c r="H3">
        <v>29.2</v>
      </c>
    </row>
    <row r="4" spans="1:11" x14ac:dyDescent="0.35">
      <c r="A4" t="s">
        <v>12</v>
      </c>
      <c r="B4" t="s">
        <v>13</v>
      </c>
      <c r="C4">
        <v>9</v>
      </c>
      <c r="D4">
        <v>2</v>
      </c>
      <c r="E4">
        <v>29.7</v>
      </c>
      <c r="F4">
        <v>38.700000000000003</v>
      </c>
      <c r="G4">
        <v>38.700000000000003</v>
      </c>
      <c r="H4">
        <v>36.700000000000003</v>
      </c>
    </row>
    <row r="5" spans="1:11" x14ac:dyDescent="0.35">
      <c r="A5" t="s">
        <v>14</v>
      </c>
      <c r="B5" t="s">
        <v>15</v>
      </c>
      <c r="C5">
        <v>5</v>
      </c>
      <c r="D5">
        <v>14</v>
      </c>
      <c r="E5">
        <v>38.700000000000003</v>
      </c>
      <c r="F5">
        <v>43.7</v>
      </c>
      <c r="G5">
        <v>43.7</v>
      </c>
      <c r="H5">
        <v>29.7</v>
      </c>
    </row>
    <row r="6" spans="1:11" x14ac:dyDescent="0.35">
      <c r="A6" t="s">
        <v>16</v>
      </c>
      <c r="B6" t="s">
        <v>9</v>
      </c>
      <c r="C6">
        <v>16.8</v>
      </c>
      <c r="D6">
        <v>0.2</v>
      </c>
      <c r="E6">
        <v>43.7</v>
      </c>
      <c r="F6">
        <v>60.5</v>
      </c>
      <c r="G6">
        <v>60.5</v>
      </c>
      <c r="H6">
        <v>60.3</v>
      </c>
    </row>
    <row r="7" spans="1:11" x14ac:dyDescent="0.35">
      <c r="A7" t="s">
        <v>17</v>
      </c>
      <c r="B7" t="s">
        <v>11</v>
      </c>
      <c r="C7">
        <v>11.5</v>
      </c>
      <c r="D7">
        <v>0.6</v>
      </c>
      <c r="E7">
        <v>60.5</v>
      </c>
      <c r="F7">
        <v>72</v>
      </c>
      <c r="G7">
        <v>72</v>
      </c>
      <c r="H7">
        <v>71.400000000000006</v>
      </c>
    </row>
    <row r="8" spans="1:11" x14ac:dyDescent="0.35">
      <c r="A8" t="s">
        <v>18</v>
      </c>
      <c r="B8" t="s">
        <v>13</v>
      </c>
      <c r="C8">
        <v>9.5</v>
      </c>
      <c r="D8">
        <v>2.2000000000000002</v>
      </c>
      <c r="E8">
        <v>72</v>
      </c>
      <c r="F8">
        <v>81.5</v>
      </c>
      <c r="G8">
        <v>81.5</v>
      </c>
      <c r="H8">
        <v>79.3</v>
      </c>
    </row>
    <row r="9" spans="1:11" x14ac:dyDescent="0.35">
      <c r="A9" t="s">
        <v>19</v>
      </c>
      <c r="B9" t="s">
        <v>15</v>
      </c>
      <c r="C9">
        <v>6</v>
      </c>
      <c r="D9">
        <v>13.5</v>
      </c>
      <c r="E9">
        <v>81.5</v>
      </c>
      <c r="F9">
        <v>87.5</v>
      </c>
      <c r="G9">
        <v>87.5</v>
      </c>
      <c r="H9">
        <v>74</v>
      </c>
    </row>
    <row r="10" spans="1:11" x14ac:dyDescent="0.35">
      <c r="A10" t="s">
        <v>20</v>
      </c>
      <c r="B10" t="s">
        <v>9</v>
      </c>
      <c r="C10">
        <v>18</v>
      </c>
      <c r="D10">
        <v>0.15</v>
      </c>
      <c r="E10">
        <v>87.5</v>
      </c>
      <c r="F10">
        <v>105.5</v>
      </c>
      <c r="G10">
        <v>105.5</v>
      </c>
      <c r="H10">
        <v>105.35</v>
      </c>
      <c r="K10" s="1" t="s">
        <v>63</v>
      </c>
    </row>
    <row r="11" spans="1:11" x14ac:dyDescent="0.35">
      <c r="A11" t="s">
        <v>21</v>
      </c>
      <c r="B11" t="s">
        <v>11</v>
      </c>
      <c r="C11">
        <v>12.8</v>
      </c>
      <c r="D11">
        <v>0.45</v>
      </c>
      <c r="E11">
        <v>105.5</v>
      </c>
      <c r="F11">
        <v>118.3</v>
      </c>
      <c r="G11">
        <v>118.3</v>
      </c>
      <c r="H11">
        <v>117.85</v>
      </c>
      <c r="K11" s="2">
        <f>AVERAGE(G2:G51)</f>
        <v>288.72600000000006</v>
      </c>
    </row>
    <row r="12" spans="1:11" x14ac:dyDescent="0.35">
      <c r="A12" t="s">
        <v>22</v>
      </c>
      <c r="B12" t="s">
        <v>13</v>
      </c>
      <c r="C12">
        <v>8.6999999999999993</v>
      </c>
      <c r="D12">
        <v>2.5</v>
      </c>
      <c r="E12">
        <v>118.3</v>
      </c>
      <c r="F12">
        <v>127</v>
      </c>
      <c r="G12">
        <v>127</v>
      </c>
      <c r="H12">
        <v>124.5</v>
      </c>
    </row>
    <row r="13" spans="1:11" x14ac:dyDescent="0.35">
      <c r="A13" t="s">
        <v>23</v>
      </c>
      <c r="B13" t="s">
        <v>15</v>
      </c>
      <c r="C13">
        <v>5.5</v>
      </c>
      <c r="D13">
        <v>12</v>
      </c>
      <c r="E13">
        <v>127</v>
      </c>
      <c r="F13">
        <v>132.5</v>
      </c>
      <c r="G13">
        <v>132.5</v>
      </c>
      <c r="H13">
        <v>120.5</v>
      </c>
      <c r="K13" s="1" t="s">
        <v>64</v>
      </c>
    </row>
    <row r="14" spans="1:11" x14ac:dyDescent="0.35">
      <c r="A14" t="s">
        <v>24</v>
      </c>
      <c r="B14" t="s">
        <v>9</v>
      </c>
      <c r="C14">
        <v>17.2</v>
      </c>
      <c r="D14">
        <v>0.18</v>
      </c>
      <c r="E14">
        <v>132.5</v>
      </c>
      <c r="F14">
        <v>149.69999999999999</v>
      </c>
      <c r="G14">
        <v>149.69999999999999</v>
      </c>
      <c r="H14">
        <v>149.52000000000001</v>
      </c>
      <c r="K14" s="2">
        <f>AVERAGE(H2:H51)</f>
        <v>285.0052</v>
      </c>
    </row>
    <row r="15" spans="1:11" x14ac:dyDescent="0.35">
      <c r="A15" t="s">
        <v>25</v>
      </c>
      <c r="B15" t="s">
        <v>11</v>
      </c>
      <c r="C15">
        <v>13</v>
      </c>
      <c r="D15">
        <v>0.55000000000000004</v>
      </c>
      <c r="E15">
        <v>149.69999999999999</v>
      </c>
      <c r="F15">
        <v>162.69999999999999</v>
      </c>
      <c r="G15">
        <v>162.69999999999999</v>
      </c>
      <c r="H15">
        <v>162.15</v>
      </c>
    </row>
    <row r="16" spans="1:11" x14ac:dyDescent="0.35">
      <c r="A16" t="s">
        <v>26</v>
      </c>
      <c r="B16" t="s">
        <v>13</v>
      </c>
      <c r="C16">
        <v>9.3000000000000007</v>
      </c>
      <c r="D16">
        <v>2.1</v>
      </c>
      <c r="E16">
        <v>162.69999999999999</v>
      </c>
      <c r="F16">
        <v>172</v>
      </c>
      <c r="G16">
        <v>172</v>
      </c>
      <c r="H16">
        <v>169.9</v>
      </c>
      <c r="K16" s="1" t="s">
        <v>65</v>
      </c>
    </row>
    <row r="17" spans="1:11" x14ac:dyDescent="0.35">
      <c r="A17" t="s">
        <v>27</v>
      </c>
      <c r="B17" t="s">
        <v>15</v>
      </c>
      <c r="C17">
        <v>6.2</v>
      </c>
      <c r="D17">
        <v>13.8</v>
      </c>
      <c r="E17">
        <v>172</v>
      </c>
      <c r="F17">
        <v>178.2</v>
      </c>
      <c r="G17">
        <v>178.2</v>
      </c>
      <c r="H17">
        <v>164.4</v>
      </c>
      <c r="K17" s="2">
        <f>MAX(H2:H51)</f>
        <v>569.44999999999993</v>
      </c>
    </row>
    <row r="18" spans="1:11" x14ac:dyDescent="0.35">
      <c r="A18" t="s">
        <v>28</v>
      </c>
      <c r="B18" t="s">
        <v>9</v>
      </c>
      <c r="C18">
        <v>16.5</v>
      </c>
      <c r="D18">
        <v>0.22</v>
      </c>
      <c r="E18">
        <v>178.2</v>
      </c>
      <c r="F18">
        <v>194.7</v>
      </c>
      <c r="G18">
        <v>194.7</v>
      </c>
      <c r="H18">
        <v>194.48</v>
      </c>
    </row>
    <row r="19" spans="1:11" x14ac:dyDescent="0.35">
      <c r="A19" t="s">
        <v>29</v>
      </c>
      <c r="B19" t="s">
        <v>11</v>
      </c>
      <c r="C19">
        <v>11.8</v>
      </c>
      <c r="D19">
        <v>0.65</v>
      </c>
      <c r="E19">
        <v>194.7</v>
      </c>
      <c r="F19">
        <v>206.5</v>
      </c>
      <c r="G19">
        <v>206.5</v>
      </c>
      <c r="H19">
        <v>205.85</v>
      </c>
      <c r="K19" s="1" t="s">
        <v>66</v>
      </c>
    </row>
    <row r="20" spans="1:11" x14ac:dyDescent="0.35">
      <c r="A20" t="s">
        <v>30</v>
      </c>
      <c r="B20" t="s">
        <v>13</v>
      </c>
      <c r="C20">
        <v>8.9</v>
      </c>
      <c r="D20">
        <v>2.2999999999999998</v>
      </c>
      <c r="E20">
        <v>206.5</v>
      </c>
      <c r="F20">
        <v>215.4</v>
      </c>
      <c r="G20">
        <v>215.4</v>
      </c>
      <c r="H20">
        <v>213.1</v>
      </c>
      <c r="K20">
        <f>0.4*K11+0.6*K14</f>
        <v>286.49351999999999</v>
      </c>
    </row>
    <row r="21" spans="1:11" x14ac:dyDescent="0.35">
      <c r="A21" t="s">
        <v>31</v>
      </c>
      <c r="B21" t="s">
        <v>15</v>
      </c>
      <c r="C21">
        <v>5.8</v>
      </c>
      <c r="D21">
        <v>14.2</v>
      </c>
      <c r="E21">
        <v>215.4</v>
      </c>
      <c r="F21">
        <v>221.2</v>
      </c>
      <c r="G21">
        <v>221.2</v>
      </c>
      <c r="H21">
        <v>207</v>
      </c>
    </row>
    <row r="22" spans="1:11" x14ac:dyDescent="0.35">
      <c r="A22" t="s">
        <v>32</v>
      </c>
      <c r="B22" t="s">
        <v>9</v>
      </c>
      <c r="C22">
        <v>17.8</v>
      </c>
      <c r="D22">
        <v>0.16</v>
      </c>
      <c r="E22">
        <v>221.2</v>
      </c>
      <c r="F22">
        <v>239</v>
      </c>
      <c r="G22">
        <v>239</v>
      </c>
      <c r="H22">
        <v>238.84</v>
      </c>
    </row>
    <row r="23" spans="1:11" x14ac:dyDescent="0.35">
      <c r="A23" t="s">
        <v>33</v>
      </c>
      <c r="B23" t="s">
        <v>11</v>
      </c>
      <c r="C23">
        <v>12.5</v>
      </c>
      <c r="D23">
        <v>0.52</v>
      </c>
      <c r="E23">
        <v>239</v>
      </c>
      <c r="F23">
        <v>251.5</v>
      </c>
      <c r="G23">
        <v>251.5</v>
      </c>
      <c r="H23">
        <v>250.98</v>
      </c>
    </row>
    <row r="24" spans="1:11" x14ac:dyDescent="0.35">
      <c r="A24" t="s">
        <v>34</v>
      </c>
      <c r="B24" t="s">
        <v>13</v>
      </c>
      <c r="C24">
        <v>9.1</v>
      </c>
      <c r="D24">
        <v>2.4</v>
      </c>
      <c r="E24">
        <v>251.5</v>
      </c>
      <c r="F24">
        <v>260.60000000000002</v>
      </c>
      <c r="G24">
        <v>260.60000000000002</v>
      </c>
      <c r="H24">
        <v>258.2</v>
      </c>
    </row>
    <row r="25" spans="1:11" x14ac:dyDescent="0.35">
      <c r="A25" t="s">
        <v>35</v>
      </c>
      <c r="B25" t="s">
        <v>15</v>
      </c>
      <c r="C25">
        <v>6.5</v>
      </c>
      <c r="D25">
        <v>13</v>
      </c>
      <c r="E25">
        <v>260.60000000000002</v>
      </c>
      <c r="F25">
        <v>267.10000000000002</v>
      </c>
      <c r="G25">
        <v>267.10000000000002</v>
      </c>
      <c r="H25">
        <v>254.1</v>
      </c>
    </row>
    <row r="26" spans="1:11" x14ac:dyDescent="0.35">
      <c r="A26" t="s">
        <v>36</v>
      </c>
      <c r="B26" t="s">
        <v>9</v>
      </c>
      <c r="C26">
        <v>16.899999999999999</v>
      </c>
      <c r="D26">
        <v>0.19</v>
      </c>
      <c r="E26">
        <v>267.10000000000002</v>
      </c>
      <c r="F26">
        <v>284</v>
      </c>
      <c r="G26">
        <v>284</v>
      </c>
      <c r="H26">
        <v>283.81</v>
      </c>
    </row>
    <row r="27" spans="1:11" x14ac:dyDescent="0.35">
      <c r="A27" t="s">
        <v>37</v>
      </c>
      <c r="B27" t="s">
        <v>11</v>
      </c>
      <c r="C27">
        <v>12.1</v>
      </c>
      <c r="D27">
        <v>0.57999999999999996</v>
      </c>
      <c r="E27">
        <v>284</v>
      </c>
      <c r="F27">
        <v>296.10000000000002</v>
      </c>
      <c r="G27">
        <v>296.10000000000002</v>
      </c>
      <c r="H27">
        <v>295.52</v>
      </c>
    </row>
    <row r="28" spans="1:11" x14ac:dyDescent="0.35">
      <c r="A28" t="s">
        <v>38</v>
      </c>
      <c r="B28" t="s">
        <v>13</v>
      </c>
      <c r="C28">
        <v>8.8000000000000007</v>
      </c>
      <c r="D28">
        <v>2.6</v>
      </c>
      <c r="E28">
        <v>296.10000000000002</v>
      </c>
      <c r="F28">
        <v>304.89999999999998</v>
      </c>
      <c r="G28">
        <v>304.89999999999998</v>
      </c>
      <c r="H28">
        <v>302.3</v>
      </c>
    </row>
    <row r="29" spans="1:11" x14ac:dyDescent="0.35">
      <c r="A29" t="s">
        <v>39</v>
      </c>
      <c r="B29" t="s">
        <v>15</v>
      </c>
      <c r="C29">
        <v>5.3</v>
      </c>
      <c r="D29">
        <v>12.5</v>
      </c>
      <c r="E29">
        <v>304.89999999999998</v>
      </c>
      <c r="F29">
        <v>310.2</v>
      </c>
      <c r="G29">
        <v>310.2</v>
      </c>
      <c r="H29">
        <v>297.7</v>
      </c>
    </row>
    <row r="30" spans="1:11" x14ac:dyDescent="0.35">
      <c r="A30" t="s">
        <v>40</v>
      </c>
      <c r="B30" t="s">
        <v>9</v>
      </c>
      <c r="C30">
        <v>17.399999999999999</v>
      </c>
      <c r="D30">
        <v>0.21</v>
      </c>
      <c r="E30">
        <v>310.2</v>
      </c>
      <c r="F30">
        <v>327.60000000000002</v>
      </c>
      <c r="G30">
        <v>327.60000000000002</v>
      </c>
      <c r="H30">
        <v>327.39</v>
      </c>
    </row>
    <row r="31" spans="1:11" x14ac:dyDescent="0.35">
      <c r="A31" t="s">
        <v>41</v>
      </c>
      <c r="B31" t="s">
        <v>11</v>
      </c>
      <c r="C31">
        <v>13.2</v>
      </c>
      <c r="D31">
        <v>0.48</v>
      </c>
      <c r="E31">
        <v>327.60000000000002</v>
      </c>
      <c r="F31">
        <v>340.8</v>
      </c>
      <c r="G31">
        <v>340.8</v>
      </c>
      <c r="H31">
        <v>340.32</v>
      </c>
    </row>
    <row r="32" spans="1:11" x14ac:dyDescent="0.35">
      <c r="A32" t="s">
        <v>42</v>
      </c>
      <c r="B32" t="s">
        <v>13</v>
      </c>
      <c r="C32">
        <v>9.4</v>
      </c>
      <c r="D32">
        <v>2.2000000000000002</v>
      </c>
      <c r="E32">
        <v>340.8</v>
      </c>
      <c r="F32">
        <v>350.2</v>
      </c>
      <c r="G32">
        <v>350.2</v>
      </c>
      <c r="H32">
        <v>348</v>
      </c>
    </row>
    <row r="33" spans="1:8" x14ac:dyDescent="0.35">
      <c r="A33" t="s">
        <v>43</v>
      </c>
      <c r="B33" t="s">
        <v>15</v>
      </c>
      <c r="C33">
        <v>6.1</v>
      </c>
      <c r="D33">
        <v>13.7</v>
      </c>
      <c r="E33">
        <v>350.2</v>
      </c>
      <c r="F33">
        <v>356.3</v>
      </c>
      <c r="G33">
        <v>356.3</v>
      </c>
      <c r="H33">
        <v>342.6</v>
      </c>
    </row>
    <row r="34" spans="1:8" x14ac:dyDescent="0.35">
      <c r="A34" t="s">
        <v>44</v>
      </c>
      <c r="B34" t="s">
        <v>9</v>
      </c>
      <c r="C34">
        <v>18.2</v>
      </c>
      <c r="D34">
        <v>0.14000000000000001</v>
      </c>
      <c r="E34">
        <v>356.3</v>
      </c>
      <c r="F34">
        <v>374.5</v>
      </c>
      <c r="G34">
        <v>374.5</v>
      </c>
      <c r="H34">
        <v>374.36</v>
      </c>
    </row>
    <row r="35" spans="1:8" x14ac:dyDescent="0.35">
      <c r="A35" t="s">
        <v>45</v>
      </c>
      <c r="B35" t="s">
        <v>11</v>
      </c>
      <c r="C35">
        <v>12.7</v>
      </c>
      <c r="D35">
        <v>0.53</v>
      </c>
      <c r="E35">
        <v>374.5</v>
      </c>
      <c r="F35">
        <v>387.2</v>
      </c>
      <c r="G35">
        <v>387.2</v>
      </c>
      <c r="H35">
        <v>386.67</v>
      </c>
    </row>
    <row r="36" spans="1:8" x14ac:dyDescent="0.35">
      <c r="A36" t="s">
        <v>46</v>
      </c>
      <c r="B36" t="s">
        <v>13</v>
      </c>
      <c r="C36">
        <v>9</v>
      </c>
      <c r="D36">
        <v>2.35</v>
      </c>
      <c r="E36">
        <v>387.2</v>
      </c>
      <c r="F36">
        <v>396.2</v>
      </c>
      <c r="G36">
        <v>396.2</v>
      </c>
      <c r="H36">
        <v>393.85</v>
      </c>
    </row>
    <row r="37" spans="1:8" x14ac:dyDescent="0.35">
      <c r="A37" t="s">
        <v>47</v>
      </c>
      <c r="B37" t="s">
        <v>15</v>
      </c>
      <c r="C37">
        <v>5.9</v>
      </c>
      <c r="D37">
        <v>14</v>
      </c>
      <c r="E37">
        <v>396.2</v>
      </c>
      <c r="F37">
        <v>402.1</v>
      </c>
      <c r="G37">
        <v>402.1</v>
      </c>
      <c r="H37">
        <v>388.1</v>
      </c>
    </row>
    <row r="38" spans="1:8" x14ac:dyDescent="0.35">
      <c r="A38" t="s">
        <v>48</v>
      </c>
      <c r="B38" t="s">
        <v>9</v>
      </c>
      <c r="C38">
        <v>16.7</v>
      </c>
      <c r="D38">
        <v>0.23</v>
      </c>
      <c r="E38">
        <v>402.1</v>
      </c>
      <c r="F38">
        <v>418.8</v>
      </c>
      <c r="G38">
        <v>418.8</v>
      </c>
      <c r="H38">
        <v>418.56999999999988</v>
      </c>
    </row>
    <row r="39" spans="1:8" x14ac:dyDescent="0.35">
      <c r="A39" t="s">
        <v>49</v>
      </c>
      <c r="B39" t="s">
        <v>11</v>
      </c>
      <c r="C39">
        <v>11.9</v>
      </c>
      <c r="D39">
        <v>0.62</v>
      </c>
      <c r="E39">
        <v>418.8</v>
      </c>
      <c r="F39">
        <v>430.69999999999987</v>
      </c>
      <c r="G39">
        <v>430.69999999999987</v>
      </c>
      <c r="H39">
        <v>430.07999999999993</v>
      </c>
    </row>
    <row r="40" spans="1:8" x14ac:dyDescent="0.35">
      <c r="A40" t="s">
        <v>50</v>
      </c>
      <c r="B40" t="s">
        <v>13</v>
      </c>
      <c r="C40">
        <v>8.6</v>
      </c>
      <c r="D40">
        <v>2.5</v>
      </c>
      <c r="E40">
        <v>430.69999999999987</v>
      </c>
      <c r="F40">
        <v>439.3</v>
      </c>
      <c r="G40">
        <v>439.3</v>
      </c>
      <c r="H40">
        <v>436.8</v>
      </c>
    </row>
    <row r="41" spans="1:8" x14ac:dyDescent="0.35">
      <c r="A41" t="s">
        <v>51</v>
      </c>
      <c r="B41" t="s">
        <v>15</v>
      </c>
      <c r="C41">
        <v>6.3</v>
      </c>
      <c r="D41">
        <v>13.2</v>
      </c>
      <c r="E41">
        <v>439.3</v>
      </c>
      <c r="F41">
        <v>445.6</v>
      </c>
      <c r="G41">
        <v>445.6</v>
      </c>
      <c r="H41">
        <v>432.4</v>
      </c>
    </row>
    <row r="42" spans="1:8" x14ac:dyDescent="0.35">
      <c r="A42" t="s">
        <v>52</v>
      </c>
      <c r="B42" t="s">
        <v>9</v>
      </c>
      <c r="C42">
        <v>17.600000000000001</v>
      </c>
      <c r="D42">
        <v>0.17</v>
      </c>
      <c r="E42">
        <v>445.6</v>
      </c>
      <c r="F42">
        <v>463.2</v>
      </c>
      <c r="G42">
        <v>463.2</v>
      </c>
      <c r="H42">
        <v>463.03</v>
      </c>
    </row>
    <row r="43" spans="1:8" x14ac:dyDescent="0.35">
      <c r="A43" t="s">
        <v>53</v>
      </c>
      <c r="B43" t="s">
        <v>11</v>
      </c>
      <c r="C43">
        <v>12.4</v>
      </c>
      <c r="D43">
        <v>0.56999999999999995</v>
      </c>
      <c r="E43">
        <v>463.2</v>
      </c>
      <c r="F43">
        <v>475.6</v>
      </c>
      <c r="G43">
        <v>475.6</v>
      </c>
      <c r="H43">
        <v>475.03</v>
      </c>
    </row>
    <row r="44" spans="1:8" x14ac:dyDescent="0.35">
      <c r="A44" t="s">
        <v>54</v>
      </c>
      <c r="B44" t="s">
        <v>13</v>
      </c>
      <c r="C44">
        <v>9.1999999999999993</v>
      </c>
      <c r="D44">
        <v>2.1</v>
      </c>
      <c r="E44">
        <v>475.6</v>
      </c>
      <c r="F44">
        <v>484.8</v>
      </c>
      <c r="G44">
        <v>484.8</v>
      </c>
      <c r="H44">
        <v>482.69999999999987</v>
      </c>
    </row>
    <row r="45" spans="1:8" x14ac:dyDescent="0.35">
      <c r="A45" t="s">
        <v>55</v>
      </c>
      <c r="B45" t="s">
        <v>15</v>
      </c>
      <c r="C45">
        <v>5.7</v>
      </c>
      <c r="D45">
        <v>12.8</v>
      </c>
      <c r="E45">
        <v>484.8</v>
      </c>
      <c r="F45">
        <v>490.49999999999989</v>
      </c>
      <c r="G45">
        <v>490.49999999999989</v>
      </c>
      <c r="H45">
        <v>477.69999999999987</v>
      </c>
    </row>
    <row r="46" spans="1:8" x14ac:dyDescent="0.35">
      <c r="A46" t="s">
        <v>56</v>
      </c>
      <c r="B46" t="s">
        <v>9</v>
      </c>
      <c r="C46">
        <v>18.100000000000001</v>
      </c>
      <c r="D46">
        <v>0.13</v>
      </c>
      <c r="E46">
        <v>490.49999999999989</v>
      </c>
      <c r="F46">
        <v>508.6</v>
      </c>
      <c r="G46">
        <v>508.6</v>
      </c>
      <c r="H46">
        <v>508.47</v>
      </c>
    </row>
    <row r="47" spans="1:8" x14ac:dyDescent="0.35">
      <c r="A47" t="s">
        <v>57</v>
      </c>
      <c r="B47" t="s">
        <v>11</v>
      </c>
      <c r="C47">
        <v>13.1</v>
      </c>
      <c r="D47">
        <v>0.49</v>
      </c>
      <c r="E47">
        <v>508.6</v>
      </c>
      <c r="F47">
        <v>521.69999999999993</v>
      </c>
      <c r="G47">
        <v>521.69999999999993</v>
      </c>
      <c r="H47">
        <v>521.20999999999992</v>
      </c>
    </row>
    <row r="48" spans="1:8" x14ac:dyDescent="0.35">
      <c r="A48" t="s">
        <v>58</v>
      </c>
      <c r="B48" t="s">
        <v>13</v>
      </c>
      <c r="C48">
        <v>8.4</v>
      </c>
      <c r="D48">
        <v>2.7</v>
      </c>
      <c r="E48">
        <v>521.69999999999993</v>
      </c>
      <c r="F48">
        <v>530.09999999999991</v>
      </c>
      <c r="G48">
        <v>530.09999999999991</v>
      </c>
      <c r="H48">
        <v>527.39999999999986</v>
      </c>
    </row>
    <row r="49" spans="1:8" x14ac:dyDescent="0.35">
      <c r="A49" t="s">
        <v>59</v>
      </c>
      <c r="B49" t="s">
        <v>11</v>
      </c>
      <c r="C49">
        <v>13</v>
      </c>
      <c r="D49">
        <v>0.45</v>
      </c>
      <c r="E49">
        <v>530.09999999999991</v>
      </c>
      <c r="F49">
        <v>543.09999999999991</v>
      </c>
      <c r="G49">
        <v>543.09999999999991</v>
      </c>
      <c r="H49">
        <v>542.64999999999986</v>
      </c>
    </row>
    <row r="50" spans="1:8" x14ac:dyDescent="0.35">
      <c r="A50" t="s">
        <v>60</v>
      </c>
      <c r="B50" t="s">
        <v>13</v>
      </c>
      <c r="C50">
        <v>8.5</v>
      </c>
      <c r="D50">
        <v>2.1</v>
      </c>
      <c r="E50">
        <v>543.09999999999991</v>
      </c>
      <c r="F50">
        <v>551.59999999999991</v>
      </c>
      <c r="G50">
        <v>551.59999999999991</v>
      </c>
      <c r="H50">
        <v>549.49999999999989</v>
      </c>
    </row>
    <row r="51" spans="1:8" x14ac:dyDescent="0.35">
      <c r="A51" t="s">
        <v>61</v>
      </c>
      <c r="B51" t="s">
        <v>9</v>
      </c>
      <c r="C51">
        <v>18</v>
      </c>
      <c r="D51">
        <v>0.15</v>
      </c>
      <c r="E51">
        <v>551.59999999999991</v>
      </c>
      <c r="F51">
        <v>569.59999999999991</v>
      </c>
      <c r="G51">
        <v>569.59999999999991</v>
      </c>
      <c r="H51">
        <v>569.44999999999993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topLeftCell="A5" workbookViewId="0">
      <selection activeCell="N14" sqref="N14"/>
    </sheetView>
  </sheetViews>
  <sheetFormatPr defaultRowHeight="14.5" x14ac:dyDescent="0.35"/>
  <cols>
    <col min="11" max="11" width="14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35">
      <c r="A2" t="s">
        <v>14</v>
      </c>
      <c r="B2" t="s">
        <v>15</v>
      </c>
      <c r="C2">
        <v>5</v>
      </c>
      <c r="D2">
        <v>14</v>
      </c>
      <c r="E2">
        <v>0</v>
      </c>
      <c r="F2">
        <v>5</v>
      </c>
      <c r="G2">
        <v>5</v>
      </c>
      <c r="H2">
        <v>0</v>
      </c>
    </row>
    <row r="3" spans="1:11" x14ac:dyDescent="0.35">
      <c r="A3" t="s">
        <v>39</v>
      </c>
      <c r="B3" t="s">
        <v>15</v>
      </c>
      <c r="C3">
        <v>5.3</v>
      </c>
      <c r="D3">
        <v>12.5</v>
      </c>
      <c r="E3">
        <v>5</v>
      </c>
      <c r="F3">
        <v>10.3</v>
      </c>
      <c r="G3">
        <v>10.3</v>
      </c>
      <c r="H3">
        <v>0</v>
      </c>
    </row>
    <row r="4" spans="1:11" x14ac:dyDescent="0.35">
      <c r="A4" t="s">
        <v>23</v>
      </c>
      <c r="B4" t="s">
        <v>15</v>
      </c>
      <c r="C4">
        <v>5.5</v>
      </c>
      <c r="D4">
        <v>12</v>
      </c>
      <c r="E4">
        <v>10.3</v>
      </c>
      <c r="F4">
        <v>15.8</v>
      </c>
      <c r="G4">
        <v>15.8</v>
      </c>
      <c r="H4">
        <v>3.8000000000000012</v>
      </c>
    </row>
    <row r="5" spans="1:11" x14ac:dyDescent="0.35">
      <c r="A5" t="s">
        <v>55</v>
      </c>
      <c r="B5" t="s">
        <v>15</v>
      </c>
      <c r="C5">
        <v>5.7</v>
      </c>
      <c r="D5">
        <v>12.8</v>
      </c>
      <c r="E5">
        <v>15.8</v>
      </c>
      <c r="F5">
        <v>21.5</v>
      </c>
      <c r="G5">
        <v>21.5</v>
      </c>
      <c r="H5">
        <v>8.6999999999999993</v>
      </c>
    </row>
    <row r="6" spans="1:11" x14ac:dyDescent="0.35">
      <c r="A6" t="s">
        <v>31</v>
      </c>
      <c r="B6" t="s">
        <v>15</v>
      </c>
      <c r="C6">
        <v>5.8</v>
      </c>
      <c r="D6">
        <v>14.2</v>
      </c>
      <c r="E6">
        <v>21.5</v>
      </c>
      <c r="F6">
        <v>27.3</v>
      </c>
      <c r="G6">
        <v>27.3</v>
      </c>
      <c r="H6">
        <v>13.1</v>
      </c>
    </row>
    <row r="7" spans="1:11" x14ac:dyDescent="0.35">
      <c r="A7" t="s">
        <v>47</v>
      </c>
      <c r="B7" t="s">
        <v>15</v>
      </c>
      <c r="C7">
        <v>5.9</v>
      </c>
      <c r="D7">
        <v>14</v>
      </c>
      <c r="E7">
        <v>27.3</v>
      </c>
      <c r="F7">
        <v>33.200000000000003</v>
      </c>
      <c r="G7">
        <v>33.200000000000003</v>
      </c>
      <c r="H7">
        <v>19.2</v>
      </c>
    </row>
    <row r="8" spans="1:11" x14ac:dyDescent="0.35">
      <c r="A8" t="s">
        <v>19</v>
      </c>
      <c r="B8" t="s">
        <v>15</v>
      </c>
      <c r="C8">
        <v>6</v>
      </c>
      <c r="D8">
        <v>13.5</v>
      </c>
      <c r="E8">
        <v>33.200000000000003</v>
      </c>
      <c r="F8">
        <v>39.200000000000003</v>
      </c>
      <c r="G8">
        <v>39.200000000000003</v>
      </c>
      <c r="H8">
        <v>25.7</v>
      </c>
    </row>
    <row r="9" spans="1:11" x14ac:dyDescent="0.35">
      <c r="A9" t="s">
        <v>43</v>
      </c>
      <c r="B9" t="s">
        <v>15</v>
      </c>
      <c r="C9">
        <v>6.1</v>
      </c>
      <c r="D9">
        <v>13.7</v>
      </c>
      <c r="E9">
        <v>39.200000000000003</v>
      </c>
      <c r="F9">
        <v>45.3</v>
      </c>
      <c r="G9">
        <v>45.3</v>
      </c>
      <c r="H9">
        <v>31.6</v>
      </c>
    </row>
    <row r="10" spans="1:11" x14ac:dyDescent="0.35">
      <c r="A10" t="s">
        <v>27</v>
      </c>
      <c r="B10" t="s">
        <v>15</v>
      </c>
      <c r="C10">
        <v>6.2</v>
      </c>
      <c r="D10">
        <v>13.8</v>
      </c>
      <c r="E10">
        <v>45.3</v>
      </c>
      <c r="F10">
        <v>51.500000000000007</v>
      </c>
      <c r="G10">
        <v>51.500000000000007</v>
      </c>
      <c r="H10">
        <v>37.700000000000003</v>
      </c>
      <c r="K10" s="1" t="s">
        <v>63</v>
      </c>
    </row>
    <row r="11" spans="1:11" x14ac:dyDescent="0.35">
      <c r="A11" t="s">
        <v>51</v>
      </c>
      <c r="B11" t="s">
        <v>15</v>
      </c>
      <c r="C11">
        <v>6.3</v>
      </c>
      <c r="D11">
        <v>13.2</v>
      </c>
      <c r="E11">
        <v>51.500000000000007</v>
      </c>
      <c r="F11">
        <v>57.8</v>
      </c>
      <c r="G11">
        <v>57.8</v>
      </c>
      <c r="H11">
        <v>44.600000000000009</v>
      </c>
      <c r="K11">
        <f>AVERAGE(G2:G51)</f>
        <v>229.65799999999996</v>
      </c>
    </row>
    <row r="12" spans="1:11" x14ac:dyDescent="0.35">
      <c r="A12" t="s">
        <v>35</v>
      </c>
      <c r="B12" t="s">
        <v>15</v>
      </c>
      <c r="C12">
        <v>6.5</v>
      </c>
      <c r="D12">
        <v>13</v>
      </c>
      <c r="E12">
        <v>57.8</v>
      </c>
      <c r="F12">
        <v>64.300000000000011</v>
      </c>
      <c r="G12">
        <v>64.300000000000011</v>
      </c>
      <c r="H12">
        <v>51.300000000000011</v>
      </c>
    </row>
    <row r="13" spans="1:11" x14ac:dyDescent="0.35">
      <c r="A13" t="s">
        <v>58</v>
      </c>
      <c r="B13" t="s">
        <v>13</v>
      </c>
      <c r="C13">
        <v>8.4</v>
      </c>
      <c r="D13">
        <v>2.7</v>
      </c>
      <c r="E13">
        <v>64.300000000000011</v>
      </c>
      <c r="F13">
        <v>72.700000000000017</v>
      </c>
      <c r="G13">
        <v>72.700000000000017</v>
      </c>
      <c r="H13">
        <v>70.000000000000014</v>
      </c>
      <c r="K13" s="1" t="s">
        <v>64</v>
      </c>
    </row>
    <row r="14" spans="1:11" x14ac:dyDescent="0.35">
      <c r="A14" t="s">
        <v>60</v>
      </c>
      <c r="B14" t="s">
        <v>13</v>
      </c>
      <c r="C14">
        <v>8.5</v>
      </c>
      <c r="D14">
        <v>2.1</v>
      </c>
      <c r="E14">
        <v>72.700000000000017</v>
      </c>
      <c r="F14">
        <v>81.200000000000017</v>
      </c>
      <c r="G14">
        <v>81.200000000000017</v>
      </c>
      <c r="H14">
        <v>79.100000000000023</v>
      </c>
      <c r="K14">
        <f>AVERAGE(H2:H51)</f>
        <v>226.16119999999995</v>
      </c>
    </row>
    <row r="15" spans="1:11" x14ac:dyDescent="0.35">
      <c r="A15" t="s">
        <v>50</v>
      </c>
      <c r="B15" t="s">
        <v>13</v>
      </c>
      <c r="C15">
        <v>8.6</v>
      </c>
      <c r="D15">
        <v>2.5</v>
      </c>
      <c r="E15">
        <v>81.200000000000017</v>
      </c>
      <c r="F15">
        <v>89.800000000000011</v>
      </c>
      <c r="G15">
        <v>89.800000000000011</v>
      </c>
      <c r="H15">
        <v>87.300000000000011</v>
      </c>
    </row>
    <row r="16" spans="1:11" x14ac:dyDescent="0.35">
      <c r="A16" t="s">
        <v>22</v>
      </c>
      <c r="B16" t="s">
        <v>13</v>
      </c>
      <c r="C16">
        <v>8.6999999999999993</v>
      </c>
      <c r="D16">
        <v>2.5</v>
      </c>
      <c r="E16">
        <v>89.800000000000011</v>
      </c>
      <c r="F16">
        <v>98.500000000000014</v>
      </c>
      <c r="G16">
        <v>98.500000000000014</v>
      </c>
      <c r="H16">
        <v>96.000000000000014</v>
      </c>
      <c r="K16" s="1" t="s">
        <v>65</v>
      </c>
    </row>
    <row r="17" spans="1:11" x14ac:dyDescent="0.35">
      <c r="A17" t="s">
        <v>38</v>
      </c>
      <c r="B17" t="s">
        <v>13</v>
      </c>
      <c r="C17">
        <v>8.8000000000000007</v>
      </c>
      <c r="D17">
        <v>2.6</v>
      </c>
      <c r="E17">
        <v>98.500000000000014</v>
      </c>
      <c r="F17">
        <v>107.3</v>
      </c>
      <c r="G17">
        <v>107.3</v>
      </c>
      <c r="H17">
        <v>104.7</v>
      </c>
      <c r="K17">
        <f>MAX(H2:H51)</f>
        <v>569.46</v>
      </c>
    </row>
    <row r="18" spans="1:11" x14ac:dyDescent="0.35">
      <c r="A18" t="s">
        <v>30</v>
      </c>
      <c r="B18" t="s">
        <v>13</v>
      </c>
      <c r="C18">
        <v>8.9</v>
      </c>
      <c r="D18">
        <v>2.2999999999999998</v>
      </c>
      <c r="E18">
        <v>107.3</v>
      </c>
      <c r="F18">
        <v>116.2</v>
      </c>
      <c r="G18">
        <v>116.2</v>
      </c>
      <c r="H18">
        <v>113.9</v>
      </c>
    </row>
    <row r="19" spans="1:11" x14ac:dyDescent="0.35">
      <c r="A19" t="s">
        <v>12</v>
      </c>
      <c r="B19" t="s">
        <v>13</v>
      </c>
      <c r="C19">
        <v>9</v>
      </c>
      <c r="D19">
        <v>2</v>
      </c>
      <c r="E19">
        <v>116.2</v>
      </c>
      <c r="F19">
        <v>125.2</v>
      </c>
      <c r="G19">
        <v>125.2</v>
      </c>
      <c r="H19">
        <v>123.2</v>
      </c>
      <c r="K19" s="1" t="s">
        <v>66</v>
      </c>
    </row>
    <row r="20" spans="1:11" x14ac:dyDescent="0.35">
      <c r="A20" t="s">
        <v>46</v>
      </c>
      <c r="B20" t="s">
        <v>13</v>
      </c>
      <c r="C20">
        <v>9</v>
      </c>
      <c r="D20">
        <v>2.35</v>
      </c>
      <c r="E20">
        <v>125.2</v>
      </c>
      <c r="F20">
        <v>134.19999999999999</v>
      </c>
      <c r="G20">
        <v>134.19999999999999</v>
      </c>
      <c r="H20">
        <v>131.85</v>
      </c>
      <c r="K20">
        <f>0.4*K11+0.6*K14</f>
        <v>227.55991999999998</v>
      </c>
    </row>
    <row r="21" spans="1:11" x14ac:dyDescent="0.35">
      <c r="A21" t="s">
        <v>34</v>
      </c>
      <c r="B21" t="s">
        <v>13</v>
      </c>
      <c r="C21">
        <v>9.1</v>
      </c>
      <c r="D21">
        <v>2.4</v>
      </c>
      <c r="E21">
        <v>134.19999999999999</v>
      </c>
      <c r="F21">
        <v>143.30000000000001</v>
      </c>
      <c r="G21">
        <v>143.30000000000001</v>
      </c>
      <c r="H21">
        <v>140.9</v>
      </c>
    </row>
    <row r="22" spans="1:11" x14ac:dyDescent="0.35">
      <c r="A22" t="s">
        <v>54</v>
      </c>
      <c r="B22" t="s">
        <v>13</v>
      </c>
      <c r="C22">
        <v>9.1999999999999993</v>
      </c>
      <c r="D22">
        <v>2.1</v>
      </c>
      <c r="E22">
        <v>143.30000000000001</v>
      </c>
      <c r="F22">
        <v>152.5</v>
      </c>
      <c r="G22">
        <v>152.5</v>
      </c>
      <c r="H22">
        <v>150.4</v>
      </c>
    </row>
    <row r="23" spans="1:11" x14ac:dyDescent="0.35">
      <c r="A23" t="s">
        <v>26</v>
      </c>
      <c r="B23" t="s">
        <v>13</v>
      </c>
      <c r="C23">
        <v>9.3000000000000007</v>
      </c>
      <c r="D23">
        <v>2.1</v>
      </c>
      <c r="E23">
        <v>152.5</v>
      </c>
      <c r="F23">
        <v>161.80000000000001</v>
      </c>
      <c r="G23">
        <v>161.80000000000001</v>
      </c>
      <c r="H23">
        <v>159.69999999999999</v>
      </c>
    </row>
    <row r="24" spans="1:11" x14ac:dyDescent="0.35">
      <c r="A24" t="s">
        <v>42</v>
      </c>
      <c r="B24" t="s">
        <v>13</v>
      </c>
      <c r="C24">
        <v>9.4</v>
      </c>
      <c r="D24">
        <v>2.2000000000000002</v>
      </c>
      <c r="E24">
        <v>161.80000000000001</v>
      </c>
      <c r="F24">
        <v>171.2</v>
      </c>
      <c r="G24">
        <v>171.2</v>
      </c>
      <c r="H24">
        <v>169</v>
      </c>
    </row>
    <row r="25" spans="1:11" x14ac:dyDescent="0.35">
      <c r="A25" t="s">
        <v>18</v>
      </c>
      <c r="B25" t="s">
        <v>13</v>
      </c>
      <c r="C25">
        <v>9.5</v>
      </c>
      <c r="D25">
        <v>2.2000000000000002</v>
      </c>
      <c r="E25">
        <v>171.2</v>
      </c>
      <c r="F25">
        <v>180.7</v>
      </c>
      <c r="G25">
        <v>180.7</v>
      </c>
      <c r="H25">
        <v>178.5</v>
      </c>
    </row>
    <row r="26" spans="1:11" x14ac:dyDescent="0.35">
      <c r="A26" t="s">
        <v>17</v>
      </c>
      <c r="B26" t="s">
        <v>11</v>
      </c>
      <c r="C26">
        <v>11.5</v>
      </c>
      <c r="D26">
        <v>0.6</v>
      </c>
      <c r="E26">
        <v>180.7</v>
      </c>
      <c r="F26">
        <v>192.2</v>
      </c>
      <c r="G26">
        <v>192.2</v>
      </c>
      <c r="H26">
        <v>191.6</v>
      </c>
    </row>
    <row r="27" spans="1:11" x14ac:dyDescent="0.35">
      <c r="A27" t="s">
        <v>29</v>
      </c>
      <c r="B27" t="s">
        <v>11</v>
      </c>
      <c r="C27">
        <v>11.8</v>
      </c>
      <c r="D27">
        <v>0.65</v>
      </c>
      <c r="E27">
        <v>192.2</v>
      </c>
      <c r="F27">
        <v>204</v>
      </c>
      <c r="G27">
        <v>204</v>
      </c>
      <c r="H27">
        <v>203.35</v>
      </c>
    </row>
    <row r="28" spans="1:11" x14ac:dyDescent="0.35">
      <c r="A28" t="s">
        <v>49</v>
      </c>
      <c r="B28" t="s">
        <v>11</v>
      </c>
      <c r="C28">
        <v>11.9</v>
      </c>
      <c r="D28">
        <v>0.62</v>
      </c>
      <c r="E28">
        <v>204</v>
      </c>
      <c r="F28">
        <v>215.9</v>
      </c>
      <c r="G28">
        <v>215.9</v>
      </c>
      <c r="H28">
        <v>215.28</v>
      </c>
    </row>
    <row r="29" spans="1:11" x14ac:dyDescent="0.35">
      <c r="A29" t="s">
        <v>37</v>
      </c>
      <c r="B29" t="s">
        <v>11</v>
      </c>
      <c r="C29">
        <v>12.1</v>
      </c>
      <c r="D29">
        <v>0.57999999999999996</v>
      </c>
      <c r="E29">
        <v>215.9</v>
      </c>
      <c r="F29">
        <v>228</v>
      </c>
      <c r="G29">
        <v>228</v>
      </c>
      <c r="H29">
        <v>227.42</v>
      </c>
    </row>
    <row r="30" spans="1:11" x14ac:dyDescent="0.35">
      <c r="A30" t="s">
        <v>10</v>
      </c>
      <c r="B30" t="s">
        <v>11</v>
      </c>
      <c r="C30">
        <v>12.2</v>
      </c>
      <c r="D30">
        <v>0.5</v>
      </c>
      <c r="E30">
        <v>228</v>
      </c>
      <c r="F30">
        <v>240.2</v>
      </c>
      <c r="G30">
        <v>240.2</v>
      </c>
      <c r="H30">
        <v>239.7</v>
      </c>
    </row>
    <row r="31" spans="1:11" x14ac:dyDescent="0.35">
      <c r="A31" t="s">
        <v>53</v>
      </c>
      <c r="B31" t="s">
        <v>11</v>
      </c>
      <c r="C31">
        <v>12.4</v>
      </c>
      <c r="D31">
        <v>0.56999999999999995</v>
      </c>
      <c r="E31">
        <v>240.2</v>
      </c>
      <c r="F31">
        <v>252.6</v>
      </c>
      <c r="G31">
        <v>252.6</v>
      </c>
      <c r="H31">
        <v>252.03</v>
      </c>
    </row>
    <row r="32" spans="1:11" x14ac:dyDescent="0.35">
      <c r="A32" t="s">
        <v>33</v>
      </c>
      <c r="B32" t="s">
        <v>11</v>
      </c>
      <c r="C32">
        <v>12.5</v>
      </c>
      <c r="D32">
        <v>0.52</v>
      </c>
      <c r="E32">
        <v>252.6</v>
      </c>
      <c r="F32">
        <v>265.10000000000002</v>
      </c>
      <c r="G32">
        <v>265.10000000000002</v>
      </c>
      <c r="H32">
        <v>264.58</v>
      </c>
    </row>
    <row r="33" spans="1:8" x14ac:dyDescent="0.35">
      <c r="A33" t="s">
        <v>45</v>
      </c>
      <c r="B33" t="s">
        <v>11</v>
      </c>
      <c r="C33">
        <v>12.7</v>
      </c>
      <c r="D33">
        <v>0.53</v>
      </c>
      <c r="E33">
        <v>265.10000000000002</v>
      </c>
      <c r="F33">
        <v>277.8</v>
      </c>
      <c r="G33">
        <v>277.8</v>
      </c>
      <c r="H33">
        <v>277.27</v>
      </c>
    </row>
    <row r="34" spans="1:8" x14ac:dyDescent="0.35">
      <c r="A34" t="s">
        <v>21</v>
      </c>
      <c r="B34" t="s">
        <v>11</v>
      </c>
      <c r="C34">
        <v>12.8</v>
      </c>
      <c r="D34">
        <v>0.45</v>
      </c>
      <c r="E34">
        <v>277.8</v>
      </c>
      <c r="F34">
        <v>290.60000000000002</v>
      </c>
      <c r="G34">
        <v>290.60000000000002</v>
      </c>
      <c r="H34">
        <v>290.14999999999998</v>
      </c>
    </row>
    <row r="35" spans="1:8" x14ac:dyDescent="0.35">
      <c r="A35" t="s">
        <v>25</v>
      </c>
      <c r="B35" t="s">
        <v>11</v>
      </c>
      <c r="C35">
        <v>13</v>
      </c>
      <c r="D35">
        <v>0.55000000000000004</v>
      </c>
      <c r="E35">
        <v>290.60000000000002</v>
      </c>
      <c r="F35">
        <v>303.60000000000002</v>
      </c>
      <c r="G35">
        <v>303.60000000000002</v>
      </c>
      <c r="H35">
        <v>303.05</v>
      </c>
    </row>
    <row r="36" spans="1:8" x14ac:dyDescent="0.35">
      <c r="A36" t="s">
        <v>59</v>
      </c>
      <c r="B36" t="s">
        <v>11</v>
      </c>
      <c r="C36">
        <v>13</v>
      </c>
      <c r="D36">
        <v>0.45</v>
      </c>
      <c r="E36">
        <v>303.60000000000002</v>
      </c>
      <c r="F36">
        <v>316.60000000000002</v>
      </c>
      <c r="G36">
        <v>316.60000000000002</v>
      </c>
      <c r="H36">
        <v>316.14999999999998</v>
      </c>
    </row>
    <row r="37" spans="1:8" x14ac:dyDescent="0.35">
      <c r="A37" t="s">
        <v>57</v>
      </c>
      <c r="B37" t="s">
        <v>11</v>
      </c>
      <c r="C37">
        <v>13.1</v>
      </c>
      <c r="D37">
        <v>0.49</v>
      </c>
      <c r="E37">
        <v>316.60000000000002</v>
      </c>
      <c r="F37">
        <v>329.7</v>
      </c>
      <c r="G37">
        <v>329.7</v>
      </c>
      <c r="H37">
        <v>329.21</v>
      </c>
    </row>
    <row r="38" spans="1:8" x14ac:dyDescent="0.35">
      <c r="A38" t="s">
        <v>41</v>
      </c>
      <c r="B38" t="s">
        <v>11</v>
      </c>
      <c r="C38">
        <v>13.2</v>
      </c>
      <c r="D38">
        <v>0.48</v>
      </c>
      <c r="E38">
        <v>329.7</v>
      </c>
      <c r="F38">
        <v>342.9</v>
      </c>
      <c r="G38">
        <v>342.9</v>
      </c>
      <c r="H38">
        <v>342.42</v>
      </c>
    </row>
    <row r="39" spans="1:8" x14ac:dyDescent="0.35">
      <c r="A39" t="s">
        <v>28</v>
      </c>
      <c r="B39" t="s">
        <v>9</v>
      </c>
      <c r="C39">
        <v>16.5</v>
      </c>
      <c r="D39">
        <v>0.22</v>
      </c>
      <c r="E39">
        <v>342.9</v>
      </c>
      <c r="F39">
        <v>359.4</v>
      </c>
      <c r="G39">
        <v>359.4</v>
      </c>
      <c r="H39">
        <v>359.18</v>
      </c>
    </row>
    <row r="40" spans="1:8" x14ac:dyDescent="0.35">
      <c r="A40" t="s">
        <v>48</v>
      </c>
      <c r="B40" t="s">
        <v>9</v>
      </c>
      <c r="C40">
        <v>16.7</v>
      </c>
      <c r="D40">
        <v>0.23</v>
      </c>
      <c r="E40">
        <v>359.4</v>
      </c>
      <c r="F40">
        <v>376.1</v>
      </c>
      <c r="G40">
        <v>376.1</v>
      </c>
      <c r="H40">
        <v>375.87</v>
      </c>
    </row>
    <row r="41" spans="1:8" x14ac:dyDescent="0.35">
      <c r="A41" t="s">
        <v>16</v>
      </c>
      <c r="B41" t="s">
        <v>9</v>
      </c>
      <c r="C41">
        <v>16.8</v>
      </c>
      <c r="D41">
        <v>0.2</v>
      </c>
      <c r="E41">
        <v>376.1</v>
      </c>
      <c r="F41">
        <v>392.9</v>
      </c>
      <c r="G41">
        <v>392.9</v>
      </c>
      <c r="H41">
        <v>392.7</v>
      </c>
    </row>
    <row r="42" spans="1:8" x14ac:dyDescent="0.35">
      <c r="A42" t="s">
        <v>36</v>
      </c>
      <c r="B42" t="s">
        <v>9</v>
      </c>
      <c r="C42">
        <v>16.899999999999999</v>
      </c>
      <c r="D42">
        <v>0.19</v>
      </c>
      <c r="E42">
        <v>392.9</v>
      </c>
      <c r="F42">
        <v>409.8</v>
      </c>
      <c r="G42">
        <v>409.8</v>
      </c>
      <c r="H42">
        <v>409.61</v>
      </c>
    </row>
    <row r="43" spans="1:8" x14ac:dyDescent="0.35">
      <c r="A43" t="s">
        <v>24</v>
      </c>
      <c r="B43" t="s">
        <v>9</v>
      </c>
      <c r="C43">
        <v>17.2</v>
      </c>
      <c r="D43">
        <v>0.18</v>
      </c>
      <c r="E43">
        <v>409.8</v>
      </c>
      <c r="F43">
        <v>427</v>
      </c>
      <c r="G43">
        <v>427</v>
      </c>
      <c r="H43">
        <v>426.82</v>
      </c>
    </row>
    <row r="44" spans="1:8" x14ac:dyDescent="0.35">
      <c r="A44" t="s">
        <v>40</v>
      </c>
      <c r="B44" t="s">
        <v>9</v>
      </c>
      <c r="C44">
        <v>17.399999999999999</v>
      </c>
      <c r="D44">
        <v>0.21</v>
      </c>
      <c r="E44">
        <v>427</v>
      </c>
      <c r="F44">
        <v>444.4</v>
      </c>
      <c r="G44">
        <v>444.4</v>
      </c>
      <c r="H44">
        <v>444.19</v>
      </c>
    </row>
    <row r="45" spans="1:8" x14ac:dyDescent="0.35">
      <c r="A45" t="s">
        <v>8</v>
      </c>
      <c r="B45" t="s">
        <v>9</v>
      </c>
      <c r="C45">
        <v>17.5</v>
      </c>
      <c r="D45">
        <v>0.17</v>
      </c>
      <c r="E45">
        <v>444.4</v>
      </c>
      <c r="F45">
        <v>461.9</v>
      </c>
      <c r="G45">
        <v>461.9</v>
      </c>
      <c r="H45">
        <v>461.73</v>
      </c>
    </row>
    <row r="46" spans="1:8" x14ac:dyDescent="0.35">
      <c r="A46" t="s">
        <v>52</v>
      </c>
      <c r="B46" t="s">
        <v>9</v>
      </c>
      <c r="C46">
        <v>17.600000000000001</v>
      </c>
      <c r="D46">
        <v>0.17</v>
      </c>
      <c r="E46">
        <v>461.9</v>
      </c>
      <c r="F46">
        <v>479.5</v>
      </c>
      <c r="G46">
        <v>479.5</v>
      </c>
      <c r="H46">
        <v>479.33</v>
      </c>
    </row>
    <row r="47" spans="1:8" x14ac:dyDescent="0.35">
      <c r="A47" t="s">
        <v>32</v>
      </c>
      <c r="B47" t="s">
        <v>9</v>
      </c>
      <c r="C47">
        <v>17.8</v>
      </c>
      <c r="D47">
        <v>0.16</v>
      </c>
      <c r="E47">
        <v>479.5</v>
      </c>
      <c r="F47">
        <v>497.3</v>
      </c>
      <c r="G47">
        <v>497.3</v>
      </c>
      <c r="H47">
        <v>497.14</v>
      </c>
    </row>
    <row r="48" spans="1:8" x14ac:dyDescent="0.35">
      <c r="A48" t="s">
        <v>20</v>
      </c>
      <c r="B48" t="s">
        <v>9</v>
      </c>
      <c r="C48">
        <v>18</v>
      </c>
      <c r="D48">
        <v>0.15</v>
      </c>
      <c r="E48">
        <v>497.3</v>
      </c>
      <c r="F48">
        <v>515.29999999999995</v>
      </c>
      <c r="G48">
        <v>515.29999999999995</v>
      </c>
      <c r="H48">
        <v>515.15</v>
      </c>
    </row>
    <row r="49" spans="1:8" x14ac:dyDescent="0.35">
      <c r="A49" t="s">
        <v>61</v>
      </c>
      <c r="B49" t="s">
        <v>9</v>
      </c>
      <c r="C49">
        <v>18</v>
      </c>
      <c r="D49">
        <v>0.15</v>
      </c>
      <c r="E49">
        <v>515.29999999999995</v>
      </c>
      <c r="F49">
        <v>533.29999999999995</v>
      </c>
      <c r="G49">
        <v>533.29999999999995</v>
      </c>
      <c r="H49">
        <v>533.15</v>
      </c>
    </row>
    <row r="50" spans="1:8" x14ac:dyDescent="0.35">
      <c r="A50" t="s">
        <v>56</v>
      </c>
      <c r="B50" t="s">
        <v>9</v>
      </c>
      <c r="C50">
        <v>18.100000000000001</v>
      </c>
      <c r="D50">
        <v>0.13</v>
      </c>
      <c r="E50">
        <v>533.29999999999995</v>
      </c>
      <c r="F50">
        <v>551.4</v>
      </c>
      <c r="G50">
        <v>551.4</v>
      </c>
      <c r="H50">
        <v>551.27</v>
      </c>
    </row>
    <row r="51" spans="1:8" x14ac:dyDescent="0.35">
      <c r="A51" t="s">
        <v>44</v>
      </c>
      <c r="B51" t="s">
        <v>9</v>
      </c>
      <c r="C51">
        <v>18.2</v>
      </c>
      <c r="D51">
        <v>0.14000000000000001</v>
      </c>
      <c r="E51">
        <v>551.4</v>
      </c>
      <c r="F51">
        <v>569.6</v>
      </c>
      <c r="G51">
        <v>569.6</v>
      </c>
      <c r="H51">
        <v>569.46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1"/>
  <sheetViews>
    <sheetView topLeftCell="A4" workbookViewId="0">
      <selection activeCell="K10" sqref="K10:K20"/>
    </sheetView>
  </sheetViews>
  <sheetFormatPr defaultRowHeight="14.5" x14ac:dyDescent="0.35"/>
  <cols>
    <col min="11" max="11" width="14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35">
      <c r="A2" t="s">
        <v>56</v>
      </c>
      <c r="B2" t="s">
        <v>9</v>
      </c>
      <c r="C2">
        <v>18.100000000000001</v>
      </c>
      <c r="D2">
        <v>0.13</v>
      </c>
      <c r="E2">
        <v>0</v>
      </c>
      <c r="F2">
        <v>18.100000000000001</v>
      </c>
      <c r="G2">
        <v>18.100000000000001</v>
      </c>
      <c r="H2">
        <v>17.97</v>
      </c>
    </row>
    <row r="3" spans="1:11" x14ac:dyDescent="0.35">
      <c r="A3" t="s">
        <v>44</v>
      </c>
      <c r="B3" t="s">
        <v>9</v>
      </c>
      <c r="C3">
        <v>18.2</v>
      </c>
      <c r="D3">
        <v>0.14000000000000001</v>
      </c>
      <c r="E3">
        <v>18.100000000000001</v>
      </c>
      <c r="F3">
        <v>36.299999999999997</v>
      </c>
      <c r="G3">
        <v>36.299999999999997</v>
      </c>
      <c r="H3">
        <v>36.159999999999997</v>
      </c>
    </row>
    <row r="4" spans="1:11" x14ac:dyDescent="0.35">
      <c r="A4" t="s">
        <v>20</v>
      </c>
      <c r="B4" t="s">
        <v>9</v>
      </c>
      <c r="C4">
        <v>18</v>
      </c>
      <c r="D4">
        <v>0.15</v>
      </c>
      <c r="E4">
        <v>36.299999999999997</v>
      </c>
      <c r="F4">
        <v>54.3</v>
      </c>
      <c r="G4">
        <v>54.3</v>
      </c>
      <c r="H4">
        <v>54.15</v>
      </c>
    </row>
    <row r="5" spans="1:11" x14ac:dyDescent="0.35">
      <c r="A5" t="s">
        <v>61</v>
      </c>
      <c r="B5" t="s">
        <v>9</v>
      </c>
      <c r="C5">
        <v>18</v>
      </c>
      <c r="D5">
        <v>0.15</v>
      </c>
      <c r="E5">
        <v>54.3</v>
      </c>
      <c r="F5">
        <v>72.3</v>
      </c>
      <c r="G5">
        <v>72.3</v>
      </c>
      <c r="H5">
        <v>72.149999999999991</v>
      </c>
    </row>
    <row r="6" spans="1:11" x14ac:dyDescent="0.35">
      <c r="A6" t="s">
        <v>32</v>
      </c>
      <c r="B6" t="s">
        <v>9</v>
      </c>
      <c r="C6">
        <v>17.8</v>
      </c>
      <c r="D6">
        <v>0.16</v>
      </c>
      <c r="E6">
        <v>72.3</v>
      </c>
      <c r="F6">
        <v>90.1</v>
      </c>
      <c r="G6">
        <v>90.1</v>
      </c>
      <c r="H6">
        <v>89.94</v>
      </c>
    </row>
    <row r="7" spans="1:11" x14ac:dyDescent="0.35">
      <c r="A7" t="s">
        <v>8</v>
      </c>
      <c r="B7" t="s">
        <v>9</v>
      </c>
      <c r="C7">
        <v>17.5</v>
      </c>
      <c r="D7">
        <v>0.17</v>
      </c>
      <c r="E7">
        <v>90.1</v>
      </c>
      <c r="F7">
        <v>107.6</v>
      </c>
      <c r="G7">
        <v>107.6</v>
      </c>
      <c r="H7">
        <v>107.43</v>
      </c>
    </row>
    <row r="8" spans="1:11" x14ac:dyDescent="0.35">
      <c r="A8" t="s">
        <v>52</v>
      </c>
      <c r="B8" t="s">
        <v>9</v>
      </c>
      <c r="C8">
        <v>17.600000000000001</v>
      </c>
      <c r="D8">
        <v>0.17</v>
      </c>
      <c r="E8">
        <v>107.6</v>
      </c>
      <c r="F8">
        <v>125.2</v>
      </c>
      <c r="G8">
        <v>125.2</v>
      </c>
      <c r="H8">
        <v>125.03</v>
      </c>
    </row>
    <row r="9" spans="1:11" x14ac:dyDescent="0.35">
      <c r="A9" t="s">
        <v>24</v>
      </c>
      <c r="B9" t="s">
        <v>9</v>
      </c>
      <c r="C9">
        <v>17.2</v>
      </c>
      <c r="D9">
        <v>0.18</v>
      </c>
      <c r="E9">
        <v>125.2</v>
      </c>
      <c r="F9">
        <v>142.4</v>
      </c>
      <c r="G9">
        <v>142.4</v>
      </c>
      <c r="H9">
        <v>142.22</v>
      </c>
    </row>
    <row r="10" spans="1:11" x14ac:dyDescent="0.35">
      <c r="A10" t="s">
        <v>36</v>
      </c>
      <c r="B10" t="s">
        <v>9</v>
      </c>
      <c r="C10">
        <v>16.899999999999999</v>
      </c>
      <c r="D10">
        <v>0.19</v>
      </c>
      <c r="E10">
        <v>142.4</v>
      </c>
      <c r="F10">
        <v>159.30000000000001</v>
      </c>
      <c r="G10">
        <v>159.30000000000001</v>
      </c>
      <c r="H10">
        <v>159.11000000000001</v>
      </c>
      <c r="K10" s="1" t="s">
        <v>63</v>
      </c>
    </row>
    <row r="11" spans="1:11" x14ac:dyDescent="0.35">
      <c r="A11" t="s">
        <v>16</v>
      </c>
      <c r="B11" t="s">
        <v>9</v>
      </c>
      <c r="C11">
        <v>16.8</v>
      </c>
      <c r="D11">
        <v>0.2</v>
      </c>
      <c r="E11">
        <v>159.30000000000001</v>
      </c>
      <c r="F11">
        <v>176.1</v>
      </c>
      <c r="G11">
        <v>176.1</v>
      </c>
      <c r="H11">
        <v>175.9</v>
      </c>
      <c r="K11">
        <f>AVERAGE(G2:G51)</f>
        <v>350.74999999999994</v>
      </c>
    </row>
    <row r="12" spans="1:11" x14ac:dyDescent="0.35">
      <c r="A12" t="s">
        <v>40</v>
      </c>
      <c r="B12" t="s">
        <v>9</v>
      </c>
      <c r="C12">
        <v>17.399999999999999</v>
      </c>
      <c r="D12">
        <v>0.21</v>
      </c>
      <c r="E12">
        <v>176.1</v>
      </c>
      <c r="F12">
        <v>193.5</v>
      </c>
      <c r="G12">
        <v>193.5</v>
      </c>
      <c r="H12">
        <v>193.29</v>
      </c>
    </row>
    <row r="13" spans="1:11" x14ac:dyDescent="0.35">
      <c r="A13" t="s">
        <v>28</v>
      </c>
      <c r="B13" t="s">
        <v>9</v>
      </c>
      <c r="C13">
        <v>16.5</v>
      </c>
      <c r="D13">
        <v>0.22</v>
      </c>
      <c r="E13">
        <v>193.5</v>
      </c>
      <c r="F13">
        <v>210</v>
      </c>
      <c r="G13">
        <v>210</v>
      </c>
      <c r="H13">
        <v>209.78</v>
      </c>
      <c r="K13" s="1" t="s">
        <v>64</v>
      </c>
    </row>
    <row r="14" spans="1:11" x14ac:dyDescent="0.35">
      <c r="A14" t="s">
        <v>48</v>
      </c>
      <c r="B14" t="s">
        <v>9</v>
      </c>
      <c r="C14">
        <v>16.7</v>
      </c>
      <c r="D14">
        <v>0.23</v>
      </c>
      <c r="E14">
        <v>210</v>
      </c>
      <c r="F14">
        <v>226.7</v>
      </c>
      <c r="G14">
        <v>226.7</v>
      </c>
      <c r="H14">
        <v>226.47</v>
      </c>
      <c r="K14">
        <f>AVERAGE(H2:H51)</f>
        <v>347.0292</v>
      </c>
    </row>
    <row r="15" spans="1:11" x14ac:dyDescent="0.35">
      <c r="A15" t="s">
        <v>21</v>
      </c>
      <c r="B15" t="s">
        <v>11</v>
      </c>
      <c r="C15">
        <v>12.8</v>
      </c>
      <c r="D15">
        <v>0.45</v>
      </c>
      <c r="E15">
        <v>226.7</v>
      </c>
      <c r="F15">
        <v>239.5</v>
      </c>
      <c r="G15">
        <v>239.5</v>
      </c>
      <c r="H15">
        <v>239.05</v>
      </c>
    </row>
    <row r="16" spans="1:11" x14ac:dyDescent="0.35">
      <c r="A16" t="s">
        <v>59</v>
      </c>
      <c r="B16" t="s">
        <v>11</v>
      </c>
      <c r="C16">
        <v>13</v>
      </c>
      <c r="D16">
        <v>0.45</v>
      </c>
      <c r="E16">
        <v>239.5</v>
      </c>
      <c r="F16">
        <v>252.5</v>
      </c>
      <c r="G16">
        <v>252.5</v>
      </c>
      <c r="H16">
        <v>252.05</v>
      </c>
      <c r="K16" s="1" t="s">
        <v>65</v>
      </c>
    </row>
    <row r="17" spans="1:11" x14ac:dyDescent="0.35">
      <c r="A17" t="s">
        <v>41</v>
      </c>
      <c r="B17" t="s">
        <v>11</v>
      </c>
      <c r="C17">
        <v>13.2</v>
      </c>
      <c r="D17">
        <v>0.48</v>
      </c>
      <c r="E17">
        <v>252.5</v>
      </c>
      <c r="F17">
        <v>265.7</v>
      </c>
      <c r="G17">
        <v>265.7</v>
      </c>
      <c r="H17">
        <v>265.22000000000003</v>
      </c>
      <c r="K17">
        <f>MAX(H2:H51)</f>
        <v>555.39999999999986</v>
      </c>
    </row>
    <row r="18" spans="1:11" x14ac:dyDescent="0.35">
      <c r="A18" t="s">
        <v>57</v>
      </c>
      <c r="B18" t="s">
        <v>11</v>
      </c>
      <c r="C18">
        <v>13.1</v>
      </c>
      <c r="D18">
        <v>0.49</v>
      </c>
      <c r="E18">
        <v>265.7</v>
      </c>
      <c r="F18">
        <v>278.8</v>
      </c>
      <c r="G18">
        <v>278.8</v>
      </c>
      <c r="H18">
        <v>278.31</v>
      </c>
    </row>
    <row r="19" spans="1:11" x14ac:dyDescent="0.35">
      <c r="A19" t="s">
        <v>10</v>
      </c>
      <c r="B19" t="s">
        <v>11</v>
      </c>
      <c r="C19">
        <v>12.2</v>
      </c>
      <c r="D19">
        <v>0.5</v>
      </c>
      <c r="E19">
        <v>278.8</v>
      </c>
      <c r="F19">
        <v>291</v>
      </c>
      <c r="G19">
        <v>291</v>
      </c>
      <c r="H19">
        <v>290.5</v>
      </c>
      <c r="K19" s="1" t="s">
        <v>66</v>
      </c>
    </row>
    <row r="20" spans="1:11" x14ac:dyDescent="0.35">
      <c r="A20" t="s">
        <v>33</v>
      </c>
      <c r="B20" t="s">
        <v>11</v>
      </c>
      <c r="C20">
        <v>12.5</v>
      </c>
      <c r="D20">
        <v>0.52</v>
      </c>
      <c r="E20">
        <v>291</v>
      </c>
      <c r="F20">
        <v>303.5</v>
      </c>
      <c r="G20">
        <v>303.5</v>
      </c>
      <c r="H20">
        <v>302.98</v>
      </c>
      <c r="K20">
        <f>0.4*K11+0.6*K14</f>
        <v>348.51751999999999</v>
      </c>
    </row>
    <row r="21" spans="1:11" x14ac:dyDescent="0.35">
      <c r="A21" t="s">
        <v>45</v>
      </c>
      <c r="B21" t="s">
        <v>11</v>
      </c>
      <c r="C21">
        <v>12.7</v>
      </c>
      <c r="D21">
        <v>0.53</v>
      </c>
      <c r="E21">
        <v>303.5</v>
      </c>
      <c r="F21">
        <v>316.2</v>
      </c>
      <c r="G21">
        <v>316.2</v>
      </c>
      <c r="H21">
        <v>315.67</v>
      </c>
    </row>
    <row r="22" spans="1:11" x14ac:dyDescent="0.35">
      <c r="A22" t="s">
        <v>25</v>
      </c>
      <c r="B22" t="s">
        <v>11</v>
      </c>
      <c r="C22">
        <v>13</v>
      </c>
      <c r="D22">
        <v>0.55000000000000004</v>
      </c>
      <c r="E22">
        <v>316.2</v>
      </c>
      <c r="F22">
        <v>329.2</v>
      </c>
      <c r="G22">
        <v>329.2</v>
      </c>
      <c r="H22">
        <v>328.65</v>
      </c>
    </row>
    <row r="23" spans="1:11" x14ac:dyDescent="0.35">
      <c r="A23" t="s">
        <v>53</v>
      </c>
      <c r="B23" t="s">
        <v>11</v>
      </c>
      <c r="C23">
        <v>12.4</v>
      </c>
      <c r="D23">
        <v>0.56999999999999995</v>
      </c>
      <c r="E23">
        <v>329.2</v>
      </c>
      <c r="F23">
        <v>341.6</v>
      </c>
      <c r="G23">
        <v>341.6</v>
      </c>
      <c r="H23">
        <v>341.03</v>
      </c>
    </row>
    <row r="24" spans="1:11" x14ac:dyDescent="0.35">
      <c r="A24" t="s">
        <v>37</v>
      </c>
      <c r="B24" t="s">
        <v>11</v>
      </c>
      <c r="C24">
        <v>12.1</v>
      </c>
      <c r="D24">
        <v>0.57999999999999996</v>
      </c>
      <c r="E24">
        <v>341.6</v>
      </c>
      <c r="F24">
        <v>353.7</v>
      </c>
      <c r="G24">
        <v>353.7</v>
      </c>
      <c r="H24">
        <v>353.12</v>
      </c>
    </row>
    <row r="25" spans="1:11" x14ac:dyDescent="0.35">
      <c r="A25" t="s">
        <v>17</v>
      </c>
      <c r="B25" t="s">
        <v>11</v>
      </c>
      <c r="C25">
        <v>11.5</v>
      </c>
      <c r="D25">
        <v>0.6</v>
      </c>
      <c r="E25">
        <v>353.7</v>
      </c>
      <c r="F25">
        <v>365.2</v>
      </c>
      <c r="G25">
        <v>365.2</v>
      </c>
      <c r="H25">
        <v>364.6</v>
      </c>
    </row>
    <row r="26" spans="1:11" x14ac:dyDescent="0.35">
      <c r="A26" t="s">
        <v>49</v>
      </c>
      <c r="B26" t="s">
        <v>11</v>
      </c>
      <c r="C26">
        <v>11.9</v>
      </c>
      <c r="D26">
        <v>0.62</v>
      </c>
      <c r="E26">
        <v>365.2</v>
      </c>
      <c r="F26">
        <v>377.1</v>
      </c>
      <c r="G26">
        <v>377.1</v>
      </c>
      <c r="H26">
        <v>376.48</v>
      </c>
    </row>
    <row r="27" spans="1:11" x14ac:dyDescent="0.35">
      <c r="A27" t="s">
        <v>29</v>
      </c>
      <c r="B27" t="s">
        <v>11</v>
      </c>
      <c r="C27">
        <v>11.8</v>
      </c>
      <c r="D27">
        <v>0.65</v>
      </c>
      <c r="E27">
        <v>377.1</v>
      </c>
      <c r="F27">
        <v>388.9</v>
      </c>
      <c r="G27">
        <v>388.9</v>
      </c>
      <c r="H27">
        <v>388.25</v>
      </c>
    </row>
    <row r="28" spans="1:11" x14ac:dyDescent="0.35">
      <c r="A28" t="s">
        <v>12</v>
      </c>
      <c r="B28" t="s">
        <v>13</v>
      </c>
      <c r="C28">
        <v>9</v>
      </c>
      <c r="D28">
        <v>2</v>
      </c>
      <c r="E28">
        <v>388.9</v>
      </c>
      <c r="F28">
        <v>397.9</v>
      </c>
      <c r="G28">
        <v>397.9</v>
      </c>
      <c r="H28">
        <v>395.9</v>
      </c>
    </row>
    <row r="29" spans="1:11" x14ac:dyDescent="0.35">
      <c r="A29" t="s">
        <v>26</v>
      </c>
      <c r="B29" t="s">
        <v>13</v>
      </c>
      <c r="C29">
        <v>9.3000000000000007</v>
      </c>
      <c r="D29">
        <v>2.1</v>
      </c>
      <c r="E29">
        <v>397.9</v>
      </c>
      <c r="F29">
        <v>407.2</v>
      </c>
      <c r="G29">
        <v>407.2</v>
      </c>
      <c r="H29">
        <v>405.1</v>
      </c>
    </row>
    <row r="30" spans="1:11" x14ac:dyDescent="0.35">
      <c r="A30" t="s">
        <v>54</v>
      </c>
      <c r="B30" t="s">
        <v>13</v>
      </c>
      <c r="C30">
        <v>9.1999999999999993</v>
      </c>
      <c r="D30">
        <v>2.1</v>
      </c>
      <c r="E30">
        <v>407.2</v>
      </c>
      <c r="F30">
        <v>416.4</v>
      </c>
      <c r="G30">
        <v>416.4</v>
      </c>
      <c r="H30">
        <v>414.3</v>
      </c>
    </row>
    <row r="31" spans="1:11" x14ac:dyDescent="0.35">
      <c r="A31" t="s">
        <v>60</v>
      </c>
      <c r="B31" t="s">
        <v>13</v>
      </c>
      <c r="C31">
        <v>8.5</v>
      </c>
      <c r="D31">
        <v>2.1</v>
      </c>
      <c r="E31">
        <v>416.4</v>
      </c>
      <c r="F31">
        <v>424.9</v>
      </c>
      <c r="G31">
        <v>424.9</v>
      </c>
      <c r="H31">
        <v>422.8</v>
      </c>
    </row>
    <row r="32" spans="1:11" x14ac:dyDescent="0.35">
      <c r="A32" t="s">
        <v>18</v>
      </c>
      <c r="B32" t="s">
        <v>13</v>
      </c>
      <c r="C32">
        <v>9.5</v>
      </c>
      <c r="D32">
        <v>2.2000000000000002</v>
      </c>
      <c r="E32">
        <v>424.9</v>
      </c>
      <c r="F32">
        <v>434.4</v>
      </c>
      <c r="G32">
        <v>434.4</v>
      </c>
      <c r="H32">
        <v>432.2</v>
      </c>
    </row>
    <row r="33" spans="1:8" x14ac:dyDescent="0.35">
      <c r="A33" t="s">
        <v>42</v>
      </c>
      <c r="B33" t="s">
        <v>13</v>
      </c>
      <c r="C33">
        <v>9.4</v>
      </c>
      <c r="D33">
        <v>2.2000000000000002</v>
      </c>
      <c r="E33">
        <v>434.4</v>
      </c>
      <c r="F33">
        <v>443.8</v>
      </c>
      <c r="G33">
        <v>443.8</v>
      </c>
      <c r="H33">
        <v>441.6</v>
      </c>
    </row>
    <row r="34" spans="1:8" x14ac:dyDescent="0.35">
      <c r="A34" t="s">
        <v>30</v>
      </c>
      <c r="B34" t="s">
        <v>13</v>
      </c>
      <c r="C34">
        <v>8.9</v>
      </c>
      <c r="D34">
        <v>2.2999999999999998</v>
      </c>
      <c r="E34">
        <v>443.8</v>
      </c>
      <c r="F34">
        <v>452.69999999999987</v>
      </c>
      <c r="G34">
        <v>452.69999999999987</v>
      </c>
      <c r="H34">
        <v>450.39999999999992</v>
      </c>
    </row>
    <row r="35" spans="1:8" x14ac:dyDescent="0.35">
      <c r="A35" t="s">
        <v>46</v>
      </c>
      <c r="B35" t="s">
        <v>13</v>
      </c>
      <c r="C35">
        <v>9</v>
      </c>
      <c r="D35">
        <v>2.35</v>
      </c>
      <c r="E35">
        <v>452.69999999999987</v>
      </c>
      <c r="F35">
        <v>461.69999999999987</v>
      </c>
      <c r="G35">
        <v>461.69999999999987</v>
      </c>
      <c r="H35">
        <v>459.34999999999991</v>
      </c>
    </row>
    <row r="36" spans="1:8" x14ac:dyDescent="0.35">
      <c r="A36" t="s">
        <v>34</v>
      </c>
      <c r="B36" t="s">
        <v>13</v>
      </c>
      <c r="C36">
        <v>9.1</v>
      </c>
      <c r="D36">
        <v>2.4</v>
      </c>
      <c r="E36">
        <v>461.69999999999987</v>
      </c>
      <c r="F36">
        <v>470.8</v>
      </c>
      <c r="G36">
        <v>470.8</v>
      </c>
      <c r="H36">
        <v>468.4</v>
      </c>
    </row>
    <row r="37" spans="1:8" x14ac:dyDescent="0.35">
      <c r="A37" t="s">
        <v>22</v>
      </c>
      <c r="B37" t="s">
        <v>13</v>
      </c>
      <c r="C37">
        <v>8.6999999999999993</v>
      </c>
      <c r="D37">
        <v>2.5</v>
      </c>
      <c r="E37">
        <v>470.8</v>
      </c>
      <c r="F37">
        <v>479.49999999999989</v>
      </c>
      <c r="G37">
        <v>479.49999999999989</v>
      </c>
      <c r="H37">
        <v>476.99999999999989</v>
      </c>
    </row>
    <row r="38" spans="1:8" x14ac:dyDescent="0.35">
      <c r="A38" t="s">
        <v>50</v>
      </c>
      <c r="B38" t="s">
        <v>13</v>
      </c>
      <c r="C38">
        <v>8.6</v>
      </c>
      <c r="D38">
        <v>2.5</v>
      </c>
      <c r="E38">
        <v>479.49999999999989</v>
      </c>
      <c r="F38">
        <v>488.1</v>
      </c>
      <c r="G38">
        <v>488.1</v>
      </c>
      <c r="H38">
        <v>485.6</v>
      </c>
    </row>
    <row r="39" spans="1:8" x14ac:dyDescent="0.35">
      <c r="A39" t="s">
        <v>38</v>
      </c>
      <c r="B39" t="s">
        <v>13</v>
      </c>
      <c r="C39">
        <v>8.8000000000000007</v>
      </c>
      <c r="D39">
        <v>2.6</v>
      </c>
      <c r="E39">
        <v>488.1</v>
      </c>
      <c r="F39">
        <v>496.9</v>
      </c>
      <c r="G39">
        <v>496.9</v>
      </c>
      <c r="H39">
        <v>494.3</v>
      </c>
    </row>
    <row r="40" spans="1:8" x14ac:dyDescent="0.35">
      <c r="A40" t="s">
        <v>58</v>
      </c>
      <c r="B40" t="s">
        <v>13</v>
      </c>
      <c r="C40">
        <v>8.4</v>
      </c>
      <c r="D40">
        <v>2.7</v>
      </c>
      <c r="E40">
        <v>496.9</v>
      </c>
      <c r="F40">
        <v>505.3</v>
      </c>
      <c r="G40">
        <v>505.3</v>
      </c>
      <c r="H40">
        <v>502.6</v>
      </c>
    </row>
    <row r="41" spans="1:8" x14ac:dyDescent="0.35">
      <c r="A41" t="s">
        <v>23</v>
      </c>
      <c r="B41" t="s">
        <v>15</v>
      </c>
      <c r="C41">
        <v>5.5</v>
      </c>
      <c r="D41">
        <v>12</v>
      </c>
      <c r="E41">
        <v>505.3</v>
      </c>
      <c r="F41">
        <v>510.8</v>
      </c>
      <c r="G41">
        <v>510.8</v>
      </c>
      <c r="H41">
        <v>498.8</v>
      </c>
    </row>
    <row r="42" spans="1:8" x14ac:dyDescent="0.35">
      <c r="A42" t="s">
        <v>39</v>
      </c>
      <c r="B42" t="s">
        <v>15</v>
      </c>
      <c r="C42">
        <v>5.3</v>
      </c>
      <c r="D42">
        <v>12.5</v>
      </c>
      <c r="E42">
        <v>510.8</v>
      </c>
      <c r="F42">
        <v>516.09999999999991</v>
      </c>
      <c r="G42">
        <v>516.09999999999991</v>
      </c>
      <c r="H42">
        <v>503.59999999999991</v>
      </c>
    </row>
    <row r="43" spans="1:8" x14ac:dyDescent="0.35">
      <c r="A43" t="s">
        <v>55</v>
      </c>
      <c r="B43" t="s">
        <v>15</v>
      </c>
      <c r="C43">
        <v>5.7</v>
      </c>
      <c r="D43">
        <v>12.8</v>
      </c>
      <c r="E43">
        <v>516.09999999999991</v>
      </c>
      <c r="F43">
        <v>521.79999999999995</v>
      </c>
      <c r="G43">
        <v>521.79999999999995</v>
      </c>
      <c r="H43">
        <v>508.99999999999989</v>
      </c>
    </row>
    <row r="44" spans="1:8" x14ac:dyDescent="0.35">
      <c r="A44" t="s">
        <v>35</v>
      </c>
      <c r="B44" t="s">
        <v>15</v>
      </c>
      <c r="C44">
        <v>6.5</v>
      </c>
      <c r="D44">
        <v>13</v>
      </c>
      <c r="E44">
        <v>521.79999999999995</v>
      </c>
      <c r="F44">
        <v>528.29999999999995</v>
      </c>
      <c r="G44">
        <v>528.29999999999995</v>
      </c>
      <c r="H44">
        <v>515.29999999999995</v>
      </c>
    </row>
    <row r="45" spans="1:8" x14ac:dyDescent="0.35">
      <c r="A45" t="s">
        <v>51</v>
      </c>
      <c r="B45" t="s">
        <v>15</v>
      </c>
      <c r="C45">
        <v>6.3</v>
      </c>
      <c r="D45">
        <v>13.2</v>
      </c>
      <c r="E45">
        <v>528.29999999999995</v>
      </c>
      <c r="F45">
        <v>534.59999999999991</v>
      </c>
      <c r="G45">
        <v>534.59999999999991</v>
      </c>
      <c r="H45">
        <v>521.39999999999986</v>
      </c>
    </row>
    <row r="46" spans="1:8" x14ac:dyDescent="0.35">
      <c r="A46" t="s">
        <v>19</v>
      </c>
      <c r="B46" t="s">
        <v>15</v>
      </c>
      <c r="C46">
        <v>6</v>
      </c>
      <c r="D46">
        <v>13.5</v>
      </c>
      <c r="E46">
        <v>534.59999999999991</v>
      </c>
      <c r="F46">
        <v>540.59999999999991</v>
      </c>
      <c r="G46">
        <v>540.59999999999991</v>
      </c>
      <c r="H46">
        <v>527.09999999999991</v>
      </c>
    </row>
    <row r="47" spans="1:8" x14ac:dyDescent="0.35">
      <c r="A47" t="s">
        <v>43</v>
      </c>
      <c r="B47" t="s">
        <v>15</v>
      </c>
      <c r="C47">
        <v>6.1</v>
      </c>
      <c r="D47">
        <v>13.7</v>
      </c>
      <c r="E47">
        <v>540.59999999999991</v>
      </c>
      <c r="F47">
        <v>546.69999999999993</v>
      </c>
      <c r="G47">
        <v>546.69999999999993</v>
      </c>
      <c r="H47">
        <v>532.99999999999989</v>
      </c>
    </row>
    <row r="48" spans="1:8" x14ac:dyDescent="0.35">
      <c r="A48" t="s">
        <v>27</v>
      </c>
      <c r="B48" t="s">
        <v>15</v>
      </c>
      <c r="C48">
        <v>6.2</v>
      </c>
      <c r="D48">
        <v>13.8</v>
      </c>
      <c r="E48">
        <v>546.69999999999993</v>
      </c>
      <c r="F48">
        <v>552.9</v>
      </c>
      <c r="G48">
        <v>552.9</v>
      </c>
      <c r="H48">
        <v>539.1</v>
      </c>
    </row>
    <row r="49" spans="1:8" x14ac:dyDescent="0.35">
      <c r="A49" t="s">
        <v>14</v>
      </c>
      <c r="B49" t="s">
        <v>15</v>
      </c>
      <c r="C49">
        <v>5</v>
      </c>
      <c r="D49">
        <v>14</v>
      </c>
      <c r="E49">
        <v>552.9</v>
      </c>
      <c r="F49">
        <v>557.9</v>
      </c>
      <c r="G49">
        <v>557.9</v>
      </c>
      <c r="H49">
        <v>543.9</v>
      </c>
    </row>
    <row r="50" spans="1:8" x14ac:dyDescent="0.35">
      <c r="A50" t="s">
        <v>47</v>
      </c>
      <c r="B50" t="s">
        <v>15</v>
      </c>
      <c r="C50">
        <v>5.9</v>
      </c>
      <c r="D50">
        <v>14</v>
      </c>
      <c r="E50">
        <v>557.9</v>
      </c>
      <c r="F50">
        <v>563.79999999999995</v>
      </c>
      <c r="G50">
        <v>563.79999999999995</v>
      </c>
      <c r="H50">
        <v>549.79999999999995</v>
      </c>
    </row>
    <row r="51" spans="1:8" x14ac:dyDescent="0.35">
      <c r="A51" t="s">
        <v>31</v>
      </c>
      <c r="B51" t="s">
        <v>15</v>
      </c>
      <c r="C51">
        <v>5.8</v>
      </c>
      <c r="D51">
        <v>14.2</v>
      </c>
      <c r="E51">
        <v>563.79999999999995</v>
      </c>
      <c r="F51">
        <v>569.59999999999991</v>
      </c>
      <c r="G51">
        <v>569.59999999999991</v>
      </c>
      <c r="H51">
        <v>555.39999999999986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1"/>
  <sheetViews>
    <sheetView workbookViewId="0">
      <selection activeCell="L21" sqref="L21"/>
    </sheetView>
  </sheetViews>
  <sheetFormatPr defaultRowHeight="14.5" x14ac:dyDescent="0.35"/>
  <cols>
    <col min="5" max="5" width="13.6328125" customWidth="1"/>
    <col min="12" max="12" width="14.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4</v>
      </c>
      <c r="G1" t="s">
        <v>5</v>
      </c>
      <c r="H1" t="s">
        <v>6</v>
      </c>
      <c r="I1" t="s">
        <v>7</v>
      </c>
    </row>
    <row r="2" spans="1:12" x14ac:dyDescent="0.35">
      <c r="A2" t="s">
        <v>60</v>
      </c>
      <c r="B2" t="s">
        <v>13</v>
      </c>
      <c r="C2">
        <v>8.5</v>
      </c>
      <c r="D2">
        <v>2.1</v>
      </c>
      <c r="E2">
        <f>0.4*C2+0.6*D2</f>
        <v>4.66</v>
      </c>
      <c r="F2">
        <v>0</v>
      </c>
      <c r="G2">
        <v>8.5</v>
      </c>
      <c r="H2">
        <v>8.5</v>
      </c>
      <c r="I2">
        <v>6.4</v>
      </c>
    </row>
    <row r="3" spans="1:12" x14ac:dyDescent="0.35">
      <c r="A3" t="s">
        <v>12</v>
      </c>
      <c r="B3" t="s">
        <v>13</v>
      </c>
      <c r="C3">
        <v>9</v>
      </c>
      <c r="D3">
        <v>2</v>
      </c>
      <c r="E3">
        <f>0.4*C3+0.6*D3</f>
        <v>4.8</v>
      </c>
      <c r="F3">
        <v>8.5</v>
      </c>
      <c r="G3">
        <v>17.5</v>
      </c>
      <c r="H3">
        <v>17.5</v>
      </c>
      <c r="I3">
        <v>15.5</v>
      </c>
    </row>
    <row r="4" spans="1:12" x14ac:dyDescent="0.35">
      <c r="A4" t="s">
        <v>50</v>
      </c>
      <c r="B4" t="s">
        <v>13</v>
      </c>
      <c r="C4">
        <v>8.6</v>
      </c>
      <c r="D4">
        <v>2.5</v>
      </c>
      <c r="E4">
        <f>0.4*C4+0.6*D4</f>
        <v>4.9399999999999995</v>
      </c>
      <c r="F4">
        <v>17.5</v>
      </c>
      <c r="G4">
        <v>26.1</v>
      </c>
      <c r="H4">
        <v>26.1</v>
      </c>
      <c r="I4">
        <v>23.6</v>
      </c>
    </row>
    <row r="5" spans="1:12" x14ac:dyDescent="0.35">
      <c r="A5" t="s">
        <v>54</v>
      </c>
      <c r="B5" t="s">
        <v>13</v>
      </c>
      <c r="C5">
        <v>9.1999999999999993</v>
      </c>
      <c r="D5">
        <v>2.1</v>
      </c>
      <c r="E5">
        <f>0.4*C5+0.6*D5</f>
        <v>4.9399999999999995</v>
      </c>
      <c r="F5">
        <v>26.1</v>
      </c>
      <c r="G5">
        <v>35.299999999999997</v>
      </c>
      <c r="H5">
        <v>35.299999999999997</v>
      </c>
      <c r="I5">
        <v>33.200000000000003</v>
      </c>
    </row>
    <row r="6" spans="1:12" x14ac:dyDescent="0.35">
      <c r="A6" t="s">
        <v>30</v>
      </c>
      <c r="B6" t="s">
        <v>13</v>
      </c>
      <c r="C6">
        <v>8.9</v>
      </c>
      <c r="D6">
        <v>2.2999999999999998</v>
      </c>
      <c r="E6">
        <f>0.4*C6+0.6*D6</f>
        <v>4.9400000000000004</v>
      </c>
      <c r="F6">
        <v>35.299999999999997</v>
      </c>
      <c r="G6">
        <v>44.2</v>
      </c>
      <c r="H6">
        <v>44.2</v>
      </c>
      <c r="I6">
        <v>41.9</v>
      </c>
    </row>
    <row r="7" spans="1:12" x14ac:dyDescent="0.35">
      <c r="A7" t="s">
        <v>17</v>
      </c>
      <c r="B7" t="s">
        <v>11</v>
      </c>
      <c r="C7">
        <v>11.5</v>
      </c>
      <c r="D7">
        <v>0.6</v>
      </c>
      <c r="E7">
        <f>0.4*C7+0.6*D7</f>
        <v>4.9600000000000009</v>
      </c>
      <c r="F7">
        <v>44.2</v>
      </c>
      <c r="G7">
        <v>55.7</v>
      </c>
      <c r="H7">
        <v>55.7</v>
      </c>
      <c r="I7">
        <v>55.099999999999987</v>
      </c>
    </row>
    <row r="8" spans="1:12" x14ac:dyDescent="0.35">
      <c r="A8" t="s">
        <v>22</v>
      </c>
      <c r="B8" t="s">
        <v>13</v>
      </c>
      <c r="C8">
        <v>8.6999999999999993</v>
      </c>
      <c r="D8">
        <v>2.5</v>
      </c>
      <c r="E8">
        <f>0.4*C8+0.6*D8</f>
        <v>4.9800000000000004</v>
      </c>
      <c r="F8">
        <v>55.7</v>
      </c>
      <c r="G8">
        <v>64.399999999999991</v>
      </c>
      <c r="H8">
        <v>64.399999999999991</v>
      </c>
      <c r="I8">
        <v>61.899999999999991</v>
      </c>
    </row>
    <row r="9" spans="1:12" x14ac:dyDescent="0.35">
      <c r="A9" t="s">
        <v>26</v>
      </c>
      <c r="B9" t="s">
        <v>13</v>
      </c>
      <c r="C9">
        <v>9.3000000000000007</v>
      </c>
      <c r="D9">
        <v>2.1</v>
      </c>
      <c r="E9">
        <f>0.4*C9+0.6*D9</f>
        <v>4.9800000000000004</v>
      </c>
      <c r="F9">
        <v>64.399999999999991</v>
      </c>
      <c r="G9">
        <v>73.699999999999989</v>
      </c>
      <c r="H9">
        <v>73.699999999999989</v>
      </c>
      <c r="I9">
        <v>71.599999999999994</v>
      </c>
    </row>
    <row r="10" spans="1:12" x14ac:dyDescent="0.35">
      <c r="A10" t="s">
        <v>58</v>
      </c>
      <c r="B10" t="s">
        <v>13</v>
      </c>
      <c r="C10">
        <v>8.4</v>
      </c>
      <c r="D10">
        <v>2.7</v>
      </c>
      <c r="E10">
        <f>0.4*C10+0.6*D10</f>
        <v>4.9800000000000004</v>
      </c>
      <c r="F10">
        <v>73.699999999999989</v>
      </c>
      <c r="G10">
        <v>82.1</v>
      </c>
      <c r="H10">
        <v>82.1</v>
      </c>
      <c r="I10">
        <v>79.399999999999991</v>
      </c>
    </row>
    <row r="11" spans="1:12" x14ac:dyDescent="0.35">
      <c r="A11" t="s">
        <v>46</v>
      </c>
      <c r="B11" t="s">
        <v>13</v>
      </c>
      <c r="C11">
        <v>9</v>
      </c>
      <c r="D11">
        <v>2.35</v>
      </c>
      <c r="E11">
        <f>0.4*C11+0.6*D11</f>
        <v>5.01</v>
      </c>
      <c r="F11">
        <v>82.1</v>
      </c>
      <c r="G11">
        <v>91.1</v>
      </c>
      <c r="H11">
        <v>91.1</v>
      </c>
      <c r="I11">
        <v>88.75</v>
      </c>
      <c r="L11" s="1" t="s">
        <v>63</v>
      </c>
    </row>
    <row r="12" spans="1:12" x14ac:dyDescent="0.35">
      <c r="A12" t="s">
        <v>34</v>
      </c>
      <c r="B12" t="s">
        <v>13</v>
      </c>
      <c r="C12">
        <v>9.1</v>
      </c>
      <c r="D12">
        <v>2.4</v>
      </c>
      <c r="E12">
        <f>0.4*C12+0.6*D12</f>
        <v>5.08</v>
      </c>
      <c r="F12">
        <v>91.1</v>
      </c>
      <c r="G12">
        <v>100.2</v>
      </c>
      <c r="H12">
        <v>100.2</v>
      </c>
      <c r="I12">
        <v>97.799999999999983</v>
      </c>
      <c r="L12">
        <f>AVERAGE(H2:H51)</f>
        <v>291.42</v>
      </c>
    </row>
    <row r="13" spans="1:12" x14ac:dyDescent="0.35">
      <c r="A13" t="s">
        <v>38</v>
      </c>
      <c r="B13" t="s">
        <v>13</v>
      </c>
      <c r="C13">
        <v>8.8000000000000007</v>
      </c>
      <c r="D13">
        <v>2.6</v>
      </c>
      <c r="E13">
        <f>0.4*C13+0.6*D13</f>
        <v>5.08</v>
      </c>
      <c r="F13">
        <v>100.2</v>
      </c>
      <c r="G13">
        <v>109</v>
      </c>
      <c r="H13">
        <v>109</v>
      </c>
      <c r="I13">
        <v>106.4</v>
      </c>
    </row>
    <row r="14" spans="1:12" x14ac:dyDescent="0.35">
      <c r="A14" t="s">
        <v>42</v>
      </c>
      <c r="B14" t="s">
        <v>13</v>
      </c>
      <c r="C14">
        <v>9.4</v>
      </c>
      <c r="D14">
        <v>2.2000000000000002</v>
      </c>
      <c r="E14">
        <f>0.4*C14+0.6*D14</f>
        <v>5.08</v>
      </c>
      <c r="F14">
        <v>109</v>
      </c>
      <c r="G14">
        <v>118.4</v>
      </c>
      <c r="H14">
        <v>118.4</v>
      </c>
      <c r="I14">
        <v>116.2</v>
      </c>
      <c r="L14" s="1" t="s">
        <v>64</v>
      </c>
    </row>
    <row r="15" spans="1:12" x14ac:dyDescent="0.35">
      <c r="A15" t="s">
        <v>29</v>
      </c>
      <c r="B15" t="s">
        <v>11</v>
      </c>
      <c r="C15">
        <v>11.8</v>
      </c>
      <c r="D15">
        <v>0.65</v>
      </c>
      <c r="E15">
        <f>0.4*C15+0.6*D15</f>
        <v>5.1100000000000003</v>
      </c>
      <c r="F15">
        <v>118.4</v>
      </c>
      <c r="G15">
        <v>130.19999999999999</v>
      </c>
      <c r="H15">
        <v>130.19999999999999</v>
      </c>
      <c r="I15">
        <v>129.55000000000001</v>
      </c>
      <c r="L15">
        <f>AVERAGE(I2:I51)</f>
        <v>287.69919999999991</v>
      </c>
    </row>
    <row r="16" spans="1:12" x14ac:dyDescent="0.35">
      <c r="A16" t="s">
        <v>18</v>
      </c>
      <c r="B16" t="s">
        <v>13</v>
      </c>
      <c r="C16">
        <v>9.5</v>
      </c>
      <c r="D16">
        <v>2.2000000000000002</v>
      </c>
      <c r="E16">
        <f>0.4*C16+0.6*D16</f>
        <v>5.12</v>
      </c>
      <c r="F16">
        <v>130.19999999999999</v>
      </c>
      <c r="G16">
        <v>139.69999999999999</v>
      </c>
      <c r="H16">
        <v>139.69999999999999</v>
      </c>
      <c r="I16">
        <v>137.5</v>
      </c>
    </row>
    <row r="17" spans="1:12" x14ac:dyDescent="0.35">
      <c r="A17" t="s">
        <v>49</v>
      </c>
      <c r="B17" t="s">
        <v>11</v>
      </c>
      <c r="C17">
        <v>11.9</v>
      </c>
      <c r="D17">
        <v>0.62</v>
      </c>
      <c r="E17">
        <f>0.4*C17+0.6*D17</f>
        <v>5.1320000000000006</v>
      </c>
      <c r="F17">
        <v>139.69999999999999</v>
      </c>
      <c r="G17">
        <v>151.6</v>
      </c>
      <c r="H17">
        <v>151.6</v>
      </c>
      <c r="I17">
        <v>150.97999999999999</v>
      </c>
      <c r="L17" s="1" t="s">
        <v>65</v>
      </c>
    </row>
    <row r="18" spans="1:12" x14ac:dyDescent="0.35">
      <c r="A18" t="s">
        <v>10</v>
      </c>
      <c r="B18" t="s">
        <v>11</v>
      </c>
      <c r="C18">
        <v>12.2</v>
      </c>
      <c r="D18">
        <v>0.5</v>
      </c>
      <c r="E18">
        <f>0.4*C18+0.6*D18</f>
        <v>5.18</v>
      </c>
      <c r="F18">
        <v>151.6</v>
      </c>
      <c r="G18">
        <v>163.80000000000001</v>
      </c>
      <c r="H18">
        <v>163.80000000000001</v>
      </c>
      <c r="I18">
        <v>163.30000000000001</v>
      </c>
      <c r="L18">
        <f>MAX(I2:I51)</f>
        <v>555.39999999999986</v>
      </c>
    </row>
    <row r="19" spans="1:12" x14ac:dyDescent="0.35">
      <c r="A19" t="s">
        <v>37</v>
      </c>
      <c r="B19" t="s">
        <v>11</v>
      </c>
      <c r="C19">
        <v>12.1</v>
      </c>
      <c r="D19">
        <v>0.57999999999999996</v>
      </c>
      <c r="E19">
        <f>0.4*C19+0.6*D19</f>
        <v>5.1879999999999997</v>
      </c>
      <c r="F19">
        <v>163.80000000000001</v>
      </c>
      <c r="G19">
        <v>175.9</v>
      </c>
      <c r="H19">
        <v>175.9</v>
      </c>
      <c r="I19">
        <v>175.32</v>
      </c>
    </row>
    <row r="20" spans="1:12" x14ac:dyDescent="0.35">
      <c r="A20" t="s">
        <v>53</v>
      </c>
      <c r="B20" t="s">
        <v>11</v>
      </c>
      <c r="C20">
        <v>12.4</v>
      </c>
      <c r="D20">
        <v>0.56999999999999995</v>
      </c>
      <c r="E20">
        <f>0.4*C20+0.6*D20</f>
        <v>5.3020000000000005</v>
      </c>
      <c r="F20">
        <v>175.9</v>
      </c>
      <c r="G20">
        <v>188.3</v>
      </c>
      <c r="H20">
        <v>188.3</v>
      </c>
      <c r="I20">
        <v>187.73</v>
      </c>
      <c r="L20" s="1" t="s">
        <v>66</v>
      </c>
    </row>
    <row r="21" spans="1:12" x14ac:dyDescent="0.35">
      <c r="A21" t="s">
        <v>33</v>
      </c>
      <c r="B21" t="s">
        <v>11</v>
      </c>
      <c r="C21">
        <v>12.5</v>
      </c>
      <c r="D21">
        <v>0.52</v>
      </c>
      <c r="E21">
        <f>0.4*C21+0.6*D21</f>
        <v>5.3120000000000003</v>
      </c>
      <c r="F21">
        <v>188.3</v>
      </c>
      <c r="G21">
        <v>200.8</v>
      </c>
      <c r="H21">
        <v>200.8</v>
      </c>
      <c r="I21">
        <v>200.28</v>
      </c>
      <c r="L21">
        <f>0.4*L12+0.6*L15</f>
        <v>289.18751999999995</v>
      </c>
    </row>
    <row r="22" spans="1:12" x14ac:dyDescent="0.35">
      <c r="A22" t="s">
        <v>21</v>
      </c>
      <c r="B22" t="s">
        <v>11</v>
      </c>
      <c r="C22">
        <v>12.8</v>
      </c>
      <c r="D22">
        <v>0.45</v>
      </c>
      <c r="E22">
        <f>0.4*C22+0.6*D22</f>
        <v>5.3900000000000006</v>
      </c>
      <c r="F22">
        <v>200.8</v>
      </c>
      <c r="G22">
        <v>213.6</v>
      </c>
      <c r="H22">
        <v>213.6</v>
      </c>
      <c r="I22">
        <v>213.15</v>
      </c>
    </row>
    <row r="23" spans="1:12" x14ac:dyDescent="0.35">
      <c r="A23" t="s">
        <v>45</v>
      </c>
      <c r="B23" t="s">
        <v>11</v>
      </c>
      <c r="C23">
        <v>12.7</v>
      </c>
      <c r="D23">
        <v>0.53</v>
      </c>
      <c r="E23">
        <f>0.4*C23+0.6*D23</f>
        <v>5.3979999999999997</v>
      </c>
      <c r="F23">
        <v>213.6</v>
      </c>
      <c r="G23">
        <v>226.3</v>
      </c>
      <c r="H23">
        <v>226.3</v>
      </c>
      <c r="I23">
        <v>225.77</v>
      </c>
    </row>
    <row r="24" spans="1:12" x14ac:dyDescent="0.35">
      <c r="A24" t="s">
        <v>59</v>
      </c>
      <c r="B24" t="s">
        <v>11</v>
      </c>
      <c r="C24">
        <v>13</v>
      </c>
      <c r="D24">
        <v>0.45</v>
      </c>
      <c r="E24">
        <f>0.4*C24+0.6*D24</f>
        <v>5.4700000000000006</v>
      </c>
      <c r="F24">
        <v>226.3</v>
      </c>
      <c r="G24">
        <v>239.3</v>
      </c>
      <c r="H24">
        <v>239.3</v>
      </c>
      <c r="I24">
        <v>238.85</v>
      </c>
    </row>
    <row r="25" spans="1:12" x14ac:dyDescent="0.35">
      <c r="A25" t="s">
        <v>25</v>
      </c>
      <c r="B25" t="s">
        <v>11</v>
      </c>
      <c r="C25">
        <v>13</v>
      </c>
      <c r="D25">
        <v>0.55000000000000004</v>
      </c>
      <c r="E25">
        <f>0.4*C25+0.6*D25</f>
        <v>5.53</v>
      </c>
      <c r="F25">
        <v>239.3</v>
      </c>
      <c r="G25">
        <v>252.3</v>
      </c>
      <c r="H25">
        <v>252.3</v>
      </c>
      <c r="I25">
        <v>251.75</v>
      </c>
    </row>
    <row r="26" spans="1:12" x14ac:dyDescent="0.35">
      <c r="A26" t="s">
        <v>57</v>
      </c>
      <c r="B26" t="s">
        <v>11</v>
      </c>
      <c r="C26">
        <v>13.1</v>
      </c>
      <c r="D26">
        <v>0.49</v>
      </c>
      <c r="E26">
        <f>0.4*C26+0.6*D26</f>
        <v>5.5339999999999998</v>
      </c>
      <c r="F26">
        <v>252.3</v>
      </c>
      <c r="G26">
        <v>265.39999999999998</v>
      </c>
      <c r="H26">
        <v>265.39999999999998</v>
      </c>
      <c r="I26">
        <v>264.91000000000003</v>
      </c>
    </row>
    <row r="27" spans="1:12" x14ac:dyDescent="0.35">
      <c r="A27" t="s">
        <v>41</v>
      </c>
      <c r="B27" t="s">
        <v>11</v>
      </c>
      <c r="C27">
        <v>13.2</v>
      </c>
      <c r="D27">
        <v>0.48</v>
      </c>
      <c r="E27">
        <f>0.4*C27+0.6*D27</f>
        <v>5.5680000000000005</v>
      </c>
      <c r="F27">
        <v>265.39999999999998</v>
      </c>
      <c r="G27">
        <v>278.60000000000002</v>
      </c>
      <c r="H27">
        <v>278.60000000000002</v>
      </c>
      <c r="I27">
        <v>278.11999999999989</v>
      </c>
    </row>
    <row r="28" spans="1:12" x14ac:dyDescent="0.35">
      <c r="A28" t="s">
        <v>28</v>
      </c>
      <c r="B28" t="s">
        <v>9</v>
      </c>
      <c r="C28">
        <v>16.5</v>
      </c>
      <c r="D28">
        <v>0.22</v>
      </c>
      <c r="E28">
        <f>0.4*C28+0.6*D28</f>
        <v>6.7320000000000002</v>
      </c>
      <c r="F28">
        <v>278.60000000000002</v>
      </c>
      <c r="G28">
        <v>295.10000000000002</v>
      </c>
      <c r="H28">
        <v>295.10000000000002</v>
      </c>
      <c r="I28">
        <v>294.87999999999988</v>
      </c>
    </row>
    <row r="29" spans="1:12" x14ac:dyDescent="0.35">
      <c r="A29" t="s">
        <v>48</v>
      </c>
      <c r="B29" t="s">
        <v>9</v>
      </c>
      <c r="C29">
        <v>16.7</v>
      </c>
      <c r="D29">
        <v>0.23</v>
      </c>
      <c r="E29">
        <f>0.4*C29+0.6*D29</f>
        <v>6.8179999999999996</v>
      </c>
      <c r="F29">
        <v>295.10000000000002</v>
      </c>
      <c r="G29">
        <v>311.8</v>
      </c>
      <c r="H29">
        <v>311.8</v>
      </c>
      <c r="I29">
        <v>311.56999999999988</v>
      </c>
    </row>
    <row r="30" spans="1:12" x14ac:dyDescent="0.35">
      <c r="A30" t="s">
        <v>16</v>
      </c>
      <c r="B30" t="s">
        <v>9</v>
      </c>
      <c r="C30">
        <v>16.8</v>
      </c>
      <c r="D30">
        <v>0.2</v>
      </c>
      <c r="E30">
        <f>0.4*C30+0.6*D30</f>
        <v>6.8400000000000007</v>
      </c>
      <c r="F30">
        <v>311.8</v>
      </c>
      <c r="G30">
        <v>328.6</v>
      </c>
      <c r="H30">
        <v>328.6</v>
      </c>
      <c r="I30">
        <v>328.4</v>
      </c>
    </row>
    <row r="31" spans="1:12" x14ac:dyDescent="0.35">
      <c r="A31" t="s">
        <v>36</v>
      </c>
      <c r="B31" t="s">
        <v>9</v>
      </c>
      <c r="C31">
        <v>16.899999999999999</v>
      </c>
      <c r="D31">
        <v>0.19</v>
      </c>
      <c r="E31">
        <f>0.4*C31+0.6*D31</f>
        <v>6.8739999999999997</v>
      </c>
      <c r="F31">
        <v>328.6</v>
      </c>
      <c r="G31">
        <v>345.49999999999989</v>
      </c>
      <c r="H31">
        <v>345.49999999999989</v>
      </c>
      <c r="I31">
        <v>345.30999999999989</v>
      </c>
    </row>
    <row r="32" spans="1:12" x14ac:dyDescent="0.35">
      <c r="A32" t="s">
        <v>24</v>
      </c>
      <c r="B32" t="s">
        <v>9</v>
      </c>
      <c r="C32">
        <v>17.2</v>
      </c>
      <c r="D32">
        <v>0.18</v>
      </c>
      <c r="E32">
        <f>0.4*C32+0.6*D32</f>
        <v>6.9879999999999995</v>
      </c>
      <c r="F32">
        <v>345.49999999999989</v>
      </c>
      <c r="G32">
        <v>362.69999999999987</v>
      </c>
      <c r="H32">
        <v>362.69999999999987</v>
      </c>
      <c r="I32">
        <v>362.51999999999992</v>
      </c>
    </row>
    <row r="33" spans="1:9" x14ac:dyDescent="0.35">
      <c r="A33" t="s">
        <v>40</v>
      </c>
      <c r="B33" t="s">
        <v>9</v>
      </c>
      <c r="C33">
        <v>17.399999999999999</v>
      </c>
      <c r="D33">
        <v>0.21</v>
      </c>
      <c r="E33">
        <f>0.4*C33+0.6*D33</f>
        <v>7.0860000000000003</v>
      </c>
      <c r="F33">
        <v>362.69999999999987</v>
      </c>
      <c r="G33">
        <v>380.09999999999991</v>
      </c>
      <c r="H33">
        <v>380.09999999999991</v>
      </c>
      <c r="I33">
        <v>379.88999999999987</v>
      </c>
    </row>
    <row r="34" spans="1:9" x14ac:dyDescent="0.35">
      <c r="A34" t="s">
        <v>8</v>
      </c>
      <c r="B34" t="s">
        <v>9</v>
      </c>
      <c r="C34">
        <v>17.5</v>
      </c>
      <c r="D34">
        <v>0.17</v>
      </c>
      <c r="E34">
        <f>0.4*C34+0.6*D34</f>
        <v>7.1020000000000003</v>
      </c>
      <c r="F34">
        <v>380.09999999999991</v>
      </c>
      <c r="G34">
        <v>397.59999999999991</v>
      </c>
      <c r="H34">
        <v>397.59999999999991</v>
      </c>
      <c r="I34">
        <v>397.42999999999989</v>
      </c>
    </row>
    <row r="35" spans="1:9" x14ac:dyDescent="0.35">
      <c r="A35" t="s">
        <v>52</v>
      </c>
      <c r="B35" t="s">
        <v>9</v>
      </c>
      <c r="C35">
        <v>17.600000000000001</v>
      </c>
      <c r="D35">
        <v>0.17</v>
      </c>
      <c r="E35">
        <f>0.4*C35+0.6*D35</f>
        <v>7.1420000000000012</v>
      </c>
      <c r="F35">
        <v>397.59999999999991</v>
      </c>
      <c r="G35">
        <v>415.19999999999987</v>
      </c>
      <c r="H35">
        <v>415.19999999999987</v>
      </c>
      <c r="I35">
        <v>415.02999999999992</v>
      </c>
    </row>
    <row r="36" spans="1:9" x14ac:dyDescent="0.35">
      <c r="A36" t="s">
        <v>32</v>
      </c>
      <c r="B36" t="s">
        <v>9</v>
      </c>
      <c r="C36">
        <v>17.8</v>
      </c>
      <c r="D36">
        <v>0.16</v>
      </c>
      <c r="E36">
        <f>0.4*C36+0.6*D36</f>
        <v>7.2160000000000011</v>
      </c>
      <c r="F36">
        <v>415.19999999999987</v>
      </c>
      <c r="G36">
        <v>432.99999999999989</v>
      </c>
      <c r="H36">
        <v>432.99999999999989</v>
      </c>
      <c r="I36">
        <v>432.83999999999992</v>
      </c>
    </row>
    <row r="37" spans="1:9" x14ac:dyDescent="0.35">
      <c r="A37" t="s">
        <v>20</v>
      </c>
      <c r="B37" t="s">
        <v>9</v>
      </c>
      <c r="C37">
        <v>18</v>
      </c>
      <c r="D37">
        <v>0.15</v>
      </c>
      <c r="E37">
        <f>0.4*C37+0.6*D37</f>
        <v>7.29</v>
      </c>
      <c r="F37">
        <v>432.99999999999989</v>
      </c>
      <c r="G37">
        <v>450.99999999999989</v>
      </c>
      <c r="H37">
        <v>450.99999999999989</v>
      </c>
      <c r="I37">
        <v>450.85</v>
      </c>
    </row>
    <row r="38" spans="1:9" x14ac:dyDescent="0.35">
      <c r="A38" t="s">
        <v>61</v>
      </c>
      <c r="B38" t="s">
        <v>9</v>
      </c>
      <c r="C38">
        <v>18</v>
      </c>
      <c r="D38">
        <v>0.15</v>
      </c>
      <c r="E38">
        <f>0.4*C38+0.6*D38</f>
        <v>7.29</v>
      </c>
      <c r="F38">
        <v>450.99999999999989</v>
      </c>
      <c r="G38">
        <v>468.99999999999989</v>
      </c>
      <c r="H38">
        <v>468.99999999999989</v>
      </c>
      <c r="I38">
        <v>468.85</v>
      </c>
    </row>
    <row r="39" spans="1:9" x14ac:dyDescent="0.35">
      <c r="A39" t="s">
        <v>56</v>
      </c>
      <c r="B39" t="s">
        <v>9</v>
      </c>
      <c r="C39">
        <v>18.100000000000001</v>
      </c>
      <c r="D39">
        <v>0.13</v>
      </c>
      <c r="E39">
        <f>0.4*C39+0.6*D39</f>
        <v>7.3180000000000014</v>
      </c>
      <c r="F39">
        <v>468.99999999999989</v>
      </c>
      <c r="G39">
        <v>487.1</v>
      </c>
      <c r="H39">
        <v>487.1</v>
      </c>
      <c r="I39">
        <v>486.97</v>
      </c>
    </row>
    <row r="40" spans="1:9" x14ac:dyDescent="0.35">
      <c r="A40" t="s">
        <v>44</v>
      </c>
      <c r="B40" t="s">
        <v>9</v>
      </c>
      <c r="C40">
        <v>18.2</v>
      </c>
      <c r="D40">
        <v>0.14000000000000001</v>
      </c>
      <c r="E40">
        <f>0.4*C40+0.6*D40</f>
        <v>7.3639999999999999</v>
      </c>
      <c r="F40">
        <v>487.1</v>
      </c>
      <c r="G40">
        <v>505.3</v>
      </c>
      <c r="H40">
        <v>505.3</v>
      </c>
      <c r="I40">
        <v>505.16</v>
      </c>
    </row>
    <row r="41" spans="1:9" x14ac:dyDescent="0.35">
      <c r="A41" t="s">
        <v>23</v>
      </c>
      <c r="B41" t="s">
        <v>15</v>
      </c>
      <c r="C41">
        <v>5.5</v>
      </c>
      <c r="D41">
        <v>12</v>
      </c>
      <c r="E41">
        <f>0.4*C41+0.6*D41</f>
        <v>9.3999999999999986</v>
      </c>
      <c r="F41">
        <v>505.3</v>
      </c>
      <c r="G41">
        <v>510.8</v>
      </c>
      <c r="H41">
        <v>510.8</v>
      </c>
      <c r="I41">
        <v>498.8</v>
      </c>
    </row>
    <row r="42" spans="1:9" x14ac:dyDescent="0.35">
      <c r="A42" t="s">
        <v>39</v>
      </c>
      <c r="B42" t="s">
        <v>15</v>
      </c>
      <c r="C42">
        <v>5.3</v>
      </c>
      <c r="D42">
        <v>12.5</v>
      </c>
      <c r="E42">
        <f>0.4*C42+0.6*D42</f>
        <v>9.620000000000001</v>
      </c>
      <c r="F42">
        <v>510.8</v>
      </c>
      <c r="G42">
        <v>516.09999999999991</v>
      </c>
      <c r="H42">
        <v>516.09999999999991</v>
      </c>
      <c r="I42">
        <v>503.59999999999991</v>
      </c>
    </row>
    <row r="43" spans="1:9" x14ac:dyDescent="0.35">
      <c r="A43" t="s">
        <v>55</v>
      </c>
      <c r="B43" t="s">
        <v>15</v>
      </c>
      <c r="C43">
        <v>5.7</v>
      </c>
      <c r="D43">
        <v>12.8</v>
      </c>
      <c r="E43">
        <f>0.4*C43+0.6*D43</f>
        <v>9.9600000000000009</v>
      </c>
      <c r="F43">
        <v>516.09999999999991</v>
      </c>
      <c r="G43">
        <v>521.79999999999995</v>
      </c>
      <c r="H43">
        <v>521.79999999999995</v>
      </c>
      <c r="I43">
        <v>508.99999999999989</v>
      </c>
    </row>
    <row r="44" spans="1:9" x14ac:dyDescent="0.35">
      <c r="A44" t="s">
        <v>14</v>
      </c>
      <c r="B44" t="s">
        <v>15</v>
      </c>
      <c r="C44">
        <v>5</v>
      </c>
      <c r="D44">
        <v>14</v>
      </c>
      <c r="E44">
        <f>0.4*C44+0.6*D44</f>
        <v>10.4</v>
      </c>
      <c r="F44">
        <v>521.79999999999995</v>
      </c>
      <c r="G44">
        <v>526.79999999999995</v>
      </c>
      <c r="H44">
        <v>526.79999999999995</v>
      </c>
      <c r="I44">
        <v>512.79999999999995</v>
      </c>
    </row>
    <row r="45" spans="1:9" x14ac:dyDescent="0.35">
      <c r="A45" t="s">
        <v>35</v>
      </c>
      <c r="B45" t="s">
        <v>15</v>
      </c>
      <c r="C45">
        <v>6.5</v>
      </c>
      <c r="D45">
        <v>13</v>
      </c>
      <c r="E45">
        <f>0.4*C45+0.6*D45</f>
        <v>10.4</v>
      </c>
      <c r="F45">
        <v>526.79999999999995</v>
      </c>
      <c r="G45">
        <v>533.29999999999995</v>
      </c>
      <c r="H45">
        <v>533.29999999999995</v>
      </c>
      <c r="I45">
        <v>520.29999999999995</v>
      </c>
    </row>
    <row r="46" spans="1:9" x14ac:dyDescent="0.35">
      <c r="A46" t="s">
        <v>51</v>
      </c>
      <c r="B46" t="s">
        <v>15</v>
      </c>
      <c r="C46">
        <v>6.3</v>
      </c>
      <c r="D46">
        <v>13.2</v>
      </c>
      <c r="E46">
        <f>0.4*C46+0.6*D46</f>
        <v>10.44</v>
      </c>
      <c r="F46">
        <v>533.29999999999995</v>
      </c>
      <c r="G46">
        <v>539.59999999999991</v>
      </c>
      <c r="H46">
        <v>539.59999999999991</v>
      </c>
      <c r="I46">
        <v>526.39999999999986</v>
      </c>
    </row>
    <row r="47" spans="1:9" x14ac:dyDescent="0.35">
      <c r="A47" t="s">
        <v>19</v>
      </c>
      <c r="B47" t="s">
        <v>15</v>
      </c>
      <c r="C47">
        <v>6</v>
      </c>
      <c r="D47">
        <v>13.5</v>
      </c>
      <c r="E47">
        <f>0.4*C47+0.6*D47</f>
        <v>10.5</v>
      </c>
      <c r="F47">
        <v>539.59999999999991</v>
      </c>
      <c r="G47">
        <v>545.59999999999991</v>
      </c>
      <c r="H47">
        <v>545.59999999999991</v>
      </c>
      <c r="I47">
        <v>532.09999999999991</v>
      </c>
    </row>
    <row r="48" spans="1:9" x14ac:dyDescent="0.35">
      <c r="A48" t="s">
        <v>43</v>
      </c>
      <c r="B48" t="s">
        <v>15</v>
      </c>
      <c r="C48">
        <v>6.1</v>
      </c>
      <c r="D48">
        <v>13.7</v>
      </c>
      <c r="E48">
        <f>0.4*C48+0.6*D48</f>
        <v>10.659999999999998</v>
      </c>
      <c r="F48">
        <v>545.59999999999991</v>
      </c>
      <c r="G48">
        <v>551.69999999999993</v>
      </c>
      <c r="H48">
        <v>551.69999999999993</v>
      </c>
      <c r="I48">
        <v>537.99999999999989</v>
      </c>
    </row>
    <row r="49" spans="1:9" x14ac:dyDescent="0.35">
      <c r="A49" t="s">
        <v>27</v>
      </c>
      <c r="B49" t="s">
        <v>15</v>
      </c>
      <c r="C49">
        <v>6.2</v>
      </c>
      <c r="D49">
        <v>13.8</v>
      </c>
      <c r="E49">
        <f>0.4*C49+0.6*D49</f>
        <v>10.76</v>
      </c>
      <c r="F49">
        <v>551.69999999999993</v>
      </c>
      <c r="G49">
        <v>557.9</v>
      </c>
      <c r="H49">
        <v>557.9</v>
      </c>
      <c r="I49">
        <v>544.1</v>
      </c>
    </row>
    <row r="50" spans="1:9" x14ac:dyDescent="0.35">
      <c r="A50" t="s">
        <v>47</v>
      </c>
      <c r="B50" t="s">
        <v>15</v>
      </c>
      <c r="C50">
        <v>5.9</v>
      </c>
      <c r="D50">
        <v>14</v>
      </c>
      <c r="E50">
        <f>0.4*C50+0.6*D50</f>
        <v>10.760000000000002</v>
      </c>
      <c r="F50">
        <v>557.9</v>
      </c>
      <c r="G50">
        <v>563.79999999999995</v>
      </c>
      <c r="H50">
        <v>563.79999999999995</v>
      </c>
      <c r="I50">
        <v>549.79999999999995</v>
      </c>
    </row>
    <row r="51" spans="1:9" x14ac:dyDescent="0.35">
      <c r="A51" t="s">
        <v>31</v>
      </c>
      <c r="B51" t="s">
        <v>15</v>
      </c>
      <c r="C51">
        <v>5.8</v>
      </c>
      <c r="D51">
        <v>14.2</v>
      </c>
      <c r="E51">
        <f>0.4*C51+0.6*D51</f>
        <v>10.84</v>
      </c>
      <c r="F51">
        <v>563.79999999999995</v>
      </c>
      <c r="G51">
        <v>569.59999999999991</v>
      </c>
      <c r="H51">
        <v>569.59999999999991</v>
      </c>
      <c r="I51">
        <v>555.39999999999986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FCFS</vt:lpstr>
      <vt:lpstr>SPT</vt:lpstr>
      <vt:lpstr>EDD</vt:lpstr>
      <vt:lpstr>Hybrid_alpha_0.4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Surekha Jayasurya</cp:lastModifiedBy>
  <dcterms:created xsi:type="dcterms:W3CDTF">2026-04-08T05:36:51Z</dcterms:created>
  <dcterms:modified xsi:type="dcterms:W3CDTF">2026-04-08T07:02:31Z</dcterms:modified>
</cp:coreProperties>
</file>